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SynologyDrive - Rena\05 Admin\2026\07260074 Ocean Dental Radio Dalam\"/>
    </mc:Choice>
  </mc:AlternateContent>
  <xr:revisionPtr revIDLastSave="0" documentId="13_ncr:1_{E44673A2-1BE2-46DE-B72A-0F507A7250A6}" xr6:coauthVersionLast="45" xr6:coauthVersionMax="47" xr10:uidLastSave="{00000000-0000-0000-0000-000000000000}"/>
  <bookViews>
    <workbookView xWindow="-108" yWindow="-108" windowWidth="23256" windowHeight="12456" firstSheet="2" activeTab="3" xr2:uid="{DE5608DA-B324-40B9-B261-575C9ED59146}"/>
  </bookViews>
  <sheets>
    <sheet name="LEMBAR KERJA" sheetId="1" r:id="rId1"/>
    <sheet name="PENGOLAHAN DATA" sheetId="2" r:id="rId2"/>
    <sheet name="KETIDAKPASTIAN" sheetId="10" r:id="rId3"/>
    <sheet name="LAPORAN HASIL" sheetId="3" r:id="rId4"/>
    <sheet name="SERT. DATA LOGGER" sheetId="9" r:id="rId5"/>
    <sheet name="SERTIFIKAT ESA" sheetId="7" r:id="rId6"/>
    <sheet name="SERTIFIKAT THERMOHYGROMETER" sheetId="8" r:id="rId7"/>
    <sheet name="SERTIFIKAT STOPWATCH" sheetId="11" r:id="rId8"/>
  </sheets>
  <externalReferences>
    <externalReference r:id="rId9"/>
    <externalReference r:id="rId10"/>
    <externalReference r:id="rId11"/>
    <externalReference r:id="rId12"/>
  </externalReferences>
  <definedNames>
    <definedName name="_xlnm.Print_Area" localSheetId="3">'LAPORAN HASIL'!$A$1:$X$60</definedName>
    <definedName name="_xlnm.Print_Area" localSheetId="0">'LEMBAR KERJA'!$A$1:$Y$78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57" i="1" l="1"/>
  <c r="D43" i="1"/>
  <c r="C47" i="2"/>
  <c r="C57" i="2" s="1"/>
  <c r="B48" i="3" s="1"/>
  <c r="Q57" i="2"/>
  <c r="C57" i="1"/>
  <c r="F171" i="7"/>
  <c r="F170" i="7"/>
  <c r="F169" i="7"/>
  <c r="F168" i="7"/>
  <c r="F153" i="7"/>
  <c r="F152" i="7"/>
  <c r="F151" i="7"/>
  <c r="F150" i="7"/>
  <c r="F149" i="7"/>
  <c r="F133" i="7"/>
  <c r="F132" i="7"/>
  <c r="F131" i="7"/>
  <c r="F130" i="7"/>
  <c r="F129" i="7"/>
  <c r="F113" i="7"/>
  <c r="F112" i="7"/>
  <c r="F111" i="7"/>
  <c r="F110" i="7"/>
  <c r="M57" i="2" l="1"/>
  <c r="D5" i="10"/>
  <c r="W12" i="10"/>
  <c r="W10" i="10"/>
  <c r="X9" i="10"/>
  <c r="F10" i="10"/>
  <c r="AD19" i="10"/>
  <c r="Z14" i="10"/>
  <c r="AB14" i="10" s="1"/>
  <c r="AC14" i="10" s="1"/>
  <c r="AD14" i="10" s="1"/>
  <c r="X13" i="10"/>
  <c r="Z13" i="10" s="1"/>
  <c r="AB13" i="10" s="1"/>
  <c r="AC13" i="10" s="1"/>
  <c r="AD13" i="10" s="1"/>
  <c r="X12" i="10"/>
  <c r="X11" i="10"/>
  <c r="W11" i="10"/>
  <c r="Z11" i="10" s="1"/>
  <c r="AB11" i="10" s="1"/>
  <c r="AC11" i="10" s="1"/>
  <c r="AD11" i="10" s="1"/>
  <c r="Z10" i="10"/>
  <c r="AB10" i="10" s="1"/>
  <c r="AC10" i="10" s="1"/>
  <c r="AD10" i="10" s="1"/>
  <c r="Y9" i="10"/>
  <c r="W7" i="10"/>
  <c r="V7" i="10"/>
  <c r="T3" i="10"/>
  <c r="E14" i="11"/>
  <c r="E15" i="11"/>
  <c r="E16" i="11"/>
  <c r="E17" i="11"/>
  <c r="E18" i="11"/>
  <c r="E19" i="11"/>
  <c r="E20" i="11"/>
  <c r="E13" i="11"/>
  <c r="E23" i="10"/>
  <c r="E11" i="10"/>
  <c r="J14" i="3"/>
  <c r="B14" i="3"/>
  <c r="Z12" i="10" l="1"/>
  <c r="AB12" i="10" s="1"/>
  <c r="AC12" i="10" s="1"/>
  <c r="AD12" i="10" s="1"/>
  <c r="V44" i="1"/>
  <c r="AC66" i="1"/>
  <c r="AC64" i="1"/>
  <c r="V45" i="1" l="1"/>
  <c r="AC65" i="1"/>
  <c r="AC61" i="1"/>
  <c r="AC60" i="1"/>
  <c r="AC59" i="1"/>
  <c r="D45" i="1"/>
  <c r="U20" i="3" l="1"/>
  <c r="Q20" i="3"/>
  <c r="M20" i="3"/>
  <c r="I20" i="3"/>
  <c r="C20" i="3"/>
  <c r="J18" i="11"/>
  <c r="J17" i="11"/>
  <c r="J16" i="11"/>
  <c r="J15" i="11"/>
  <c r="J14" i="11"/>
  <c r="J13" i="11"/>
  <c r="H23" i="10" l="1"/>
  <c r="J23" i="10" s="1"/>
  <c r="K23" i="10" s="1"/>
  <c r="L23" i="10" s="1"/>
  <c r="F15" i="9"/>
  <c r="F14" i="9"/>
  <c r="B42" i="3"/>
  <c r="T48" i="3" s="1"/>
  <c r="B45" i="3"/>
  <c r="B39" i="3"/>
  <c r="C72" i="2"/>
  <c r="I57" i="2"/>
  <c r="H11" i="10"/>
  <c r="J11" i="10" s="1"/>
  <c r="K11" i="10" s="1"/>
  <c r="L11" i="10" s="1"/>
  <c r="F25" i="10"/>
  <c r="F24" i="10"/>
  <c r="E24" i="10"/>
  <c r="H24" i="10" s="1"/>
  <c r="J24" i="10" s="1"/>
  <c r="K24" i="10" s="1"/>
  <c r="L24" i="10" s="1"/>
  <c r="G22" i="10"/>
  <c r="F22" i="10"/>
  <c r="E22" i="10"/>
  <c r="H22" i="10" s="1"/>
  <c r="J22" i="10" s="1"/>
  <c r="K22" i="10" s="1"/>
  <c r="F13" i="10"/>
  <c r="F12" i="10"/>
  <c r="E12" i="10"/>
  <c r="H12" i="10" s="1"/>
  <c r="J12" i="10" s="1"/>
  <c r="K12" i="10" s="1"/>
  <c r="L12" i="10" s="1"/>
  <c r="G10" i="10"/>
  <c r="A2" i="10"/>
  <c r="G15" i="9"/>
  <c r="E15" i="9"/>
  <c r="C15" i="9"/>
  <c r="G14" i="9"/>
  <c r="E14" i="9"/>
  <c r="A1" i="9"/>
  <c r="Q47" i="2"/>
  <c r="M47" i="2"/>
  <c r="I47" i="2"/>
  <c r="U47" i="2" s="1"/>
  <c r="C51" i="2" s="1"/>
  <c r="B66" i="2"/>
  <c r="B65" i="2"/>
  <c r="X57" i="2" l="1"/>
  <c r="W9" i="10" s="1"/>
  <c r="Z9" i="10" s="1"/>
  <c r="AB9" i="10" s="1"/>
  <c r="AC9" i="10" s="1"/>
  <c r="U57" i="2"/>
  <c r="E25" i="10"/>
  <c r="H25" i="10" s="1"/>
  <c r="J25" i="10" s="1"/>
  <c r="K25" i="10" s="1"/>
  <c r="L25" i="10" s="1"/>
  <c r="E13" i="10"/>
  <c r="H13" i="10" s="1"/>
  <c r="J13" i="10" s="1"/>
  <c r="K13" i="10" s="1"/>
  <c r="L13" i="10" s="1"/>
  <c r="AC15" i="10"/>
  <c r="AC16" i="10" s="1"/>
  <c r="X47" i="2"/>
  <c r="C61" i="2"/>
  <c r="I48" i="3" s="1"/>
  <c r="L22" i="10"/>
  <c r="L26" i="10" s="1"/>
  <c r="K26" i="10"/>
  <c r="K27" i="10" s="1"/>
  <c r="R41" i="2"/>
  <c r="U36" i="3" s="1"/>
  <c r="J41" i="2"/>
  <c r="C41" i="2"/>
  <c r="C36" i="3" s="1"/>
  <c r="J40" i="2"/>
  <c r="J39" i="2"/>
  <c r="N39" i="2" s="1"/>
  <c r="J38" i="2"/>
  <c r="N38" i="2" s="1"/>
  <c r="AD9" i="10" l="1"/>
  <c r="AD15" i="10" s="1"/>
  <c r="N41" i="2"/>
  <c r="O36" i="3" s="1"/>
  <c r="AC17" i="10"/>
  <c r="AC18" i="10" s="1"/>
  <c r="AC19" i="10" s="1"/>
  <c r="E10" i="10"/>
  <c r="H10" i="10" s="1"/>
  <c r="J10" i="10" s="1"/>
  <c r="K10" i="10" s="1"/>
  <c r="F51" i="2"/>
  <c r="I42" i="3"/>
  <c r="F61" i="2"/>
  <c r="L61" i="2" s="1"/>
  <c r="K28" i="10"/>
  <c r="K29" i="10" s="1"/>
  <c r="K30" i="10" s="1"/>
  <c r="T41" i="2"/>
  <c r="C40" i="2"/>
  <c r="C35" i="3" s="1"/>
  <c r="D44" i="1"/>
  <c r="C38" i="2"/>
  <c r="C33" i="3" s="1"/>
  <c r="R40" i="2"/>
  <c r="T40" i="2" s="1"/>
  <c r="V43" i="1"/>
  <c r="R38" i="2" s="1"/>
  <c r="L10" i="10" l="1"/>
  <c r="L14" i="10" s="1"/>
  <c r="K14" i="10"/>
  <c r="K15" i="10" s="1"/>
  <c r="O42" i="3"/>
  <c r="O48" i="3"/>
  <c r="R39" i="2"/>
  <c r="C39" i="2"/>
  <c r="C34" i="3" s="1"/>
  <c r="C47" i="1"/>
  <c r="I61" i="2" l="1"/>
  <c r="O49" i="3" s="1"/>
  <c r="K16" i="10"/>
  <c r="K17" i="10" s="1"/>
  <c r="K18" i="10" s="1"/>
  <c r="I51" i="2" s="1"/>
  <c r="U19" i="3"/>
  <c r="U18" i="3"/>
  <c r="Q19" i="3"/>
  <c r="Q18" i="3"/>
  <c r="M19" i="3"/>
  <c r="M18" i="3"/>
  <c r="I19" i="3"/>
  <c r="I18" i="3"/>
  <c r="C19" i="3"/>
  <c r="C18" i="3"/>
  <c r="O43" i="3" l="1"/>
  <c r="L51" i="2"/>
  <c r="U51" i="2" s="1"/>
  <c r="U61" i="2"/>
  <c r="X61" i="2" s="1"/>
  <c r="J66" i="2" s="1"/>
  <c r="R66" i="2" s="1"/>
  <c r="N19" i="8" a="1"/>
  <c r="N19" i="8" s="1"/>
  <c r="E19" i="8" a="1"/>
  <c r="F19" i="8" s="1"/>
  <c r="X51" i="2" l="1"/>
  <c r="J65" i="2" s="1"/>
  <c r="R65" i="2" s="1"/>
  <c r="H72" i="2" s="1"/>
  <c r="E21" i="8"/>
  <c r="E23" i="8"/>
  <c r="E19" i="8"/>
  <c r="F22" i="8"/>
  <c r="F20" i="8"/>
  <c r="O22" i="8"/>
  <c r="O20" i="8"/>
  <c r="N22" i="8"/>
  <c r="N20" i="8"/>
  <c r="O23" i="8"/>
  <c r="O21" i="8"/>
  <c r="O19" i="8"/>
  <c r="N23" i="8"/>
  <c r="N21" i="8"/>
  <c r="E22" i="8"/>
  <c r="E20" i="8"/>
  <c r="F23" i="8"/>
  <c r="F21" i="8"/>
  <c r="Z18" i="2"/>
  <c r="Z19" i="2"/>
  <c r="G7" i="3" l="1"/>
  <c r="W3" i="3"/>
  <c r="T3" i="3"/>
  <c r="T2" i="3"/>
  <c r="G2" i="3"/>
  <c r="G4" i="3"/>
  <c r="G3" i="3"/>
  <c r="G9" i="3"/>
  <c r="G8" i="3"/>
  <c r="Z17" i="2"/>
  <c r="U17" i="2"/>
  <c r="P17" i="2"/>
  <c r="K17" i="2"/>
  <c r="C17" i="2"/>
  <c r="K14" i="2"/>
  <c r="C14" i="2"/>
  <c r="P24" i="2"/>
  <c r="P23" i="2"/>
  <c r="K24" i="2"/>
  <c r="K23" i="2"/>
  <c r="C24" i="2"/>
  <c r="C23" i="2"/>
  <c r="K18" i="2"/>
  <c r="P18" i="2"/>
  <c r="U18" i="2"/>
  <c r="K19" i="2"/>
  <c r="P19" i="2"/>
  <c r="U19" i="2"/>
  <c r="U23" i="2" l="1"/>
  <c r="H12" i="3" s="1"/>
  <c r="C18" i="2"/>
  <c r="C19" i="2"/>
  <c r="L9" i="2"/>
  <c r="K13" i="2"/>
  <c r="K12" i="2"/>
  <c r="K11" i="2"/>
  <c r="K10" i="2"/>
  <c r="K9" i="2"/>
  <c r="K8" i="2"/>
  <c r="K7" i="2"/>
  <c r="K6" i="2"/>
  <c r="K5" i="2"/>
  <c r="C13" i="2"/>
  <c r="C12" i="2"/>
  <c r="C11" i="2"/>
  <c r="C10" i="2"/>
  <c r="C9" i="2"/>
  <c r="C8" i="2"/>
  <c r="C7" i="2"/>
  <c r="C6" i="2"/>
  <c r="C5" i="2"/>
  <c r="B24" i="1"/>
  <c r="E93" i="7" l="1" a="1"/>
  <c r="E93" i="7"/>
  <c r="F93" i="7"/>
  <c r="E94" i="7"/>
  <c r="F94" i="7"/>
  <c r="E95" i="7"/>
  <c r="F95" i="7"/>
  <c r="E96" i="7"/>
  <c r="F96" i="7"/>
  <c r="E97" i="7"/>
  <c r="F97" i="7"/>
  <c r="J91" i="7"/>
  <c r="J90" i="7"/>
  <c r="J89" i="7"/>
  <c r="J88" i="7"/>
  <c r="J87" i="7"/>
  <c r="J86" i="7"/>
  <c r="J85" i="7"/>
  <c r="J84" i="7"/>
  <c r="J83" i="7"/>
  <c r="J82" i="7"/>
  <c r="J66" i="7"/>
  <c r="J67" i="7"/>
  <c r="J68" i="7"/>
  <c r="J69" i="7"/>
  <c r="J70" i="7"/>
  <c r="J71" i="7"/>
  <c r="J65" i="7"/>
  <c r="E73" i="7" a="1"/>
  <c r="E73" i="7" s="1"/>
  <c r="E56" i="7" a="1"/>
  <c r="F60" i="7" s="1"/>
  <c r="J54" i="7"/>
  <c r="J53" i="7"/>
  <c r="J52" i="7"/>
  <c r="J51" i="7"/>
  <c r="J50" i="7"/>
  <c r="J49" i="7"/>
  <c r="J48" i="7"/>
  <c r="J47" i="7"/>
  <c r="J46" i="7"/>
  <c r="J45" i="7"/>
  <c r="E36" i="7" a="1"/>
  <c r="E36" i="7" s="1"/>
  <c r="J26" i="7"/>
  <c r="J27" i="7"/>
  <c r="J28" i="7"/>
  <c r="J29" i="7"/>
  <c r="J30" i="7"/>
  <c r="J31" i="7"/>
  <c r="J32" i="7"/>
  <c r="J33" i="7"/>
  <c r="J34" i="7"/>
  <c r="J25" i="7"/>
  <c r="E16" i="7" a="1"/>
  <c r="F16" i="7" s="1"/>
  <c r="E16" i="7"/>
  <c r="J13" i="7"/>
  <c r="J14" i="7"/>
  <c r="J12" i="7"/>
  <c r="F76" i="7" l="1"/>
  <c r="F74" i="7"/>
  <c r="E76" i="7"/>
  <c r="E74" i="7"/>
  <c r="F77" i="7"/>
  <c r="F75" i="7"/>
  <c r="F73" i="7"/>
  <c r="E77" i="7"/>
  <c r="E75" i="7"/>
  <c r="E57" i="7"/>
  <c r="F19" i="7"/>
  <c r="F57" i="7"/>
  <c r="E20" i="7"/>
  <c r="F17" i="7"/>
  <c r="E56" i="7"/>
  <c r="E59" i="7"/>
  <c r="F59" i="7"/>
  <c r="E58" i="7"/>
  <c r="E60" i="7"/>
  <c r="F56" i="7"/>
  <c r="F58" i="7"/>
  <c r="F39" i="7"/>
  <c r="F37" i="7"/>
  <c r="E39" i="7"/>
  <c r="E37" i="7"/>
  <c r="F40" i="7"/>
  <c r="F38" i="7"/>
  <c r="F36" i="7"/>
  <c r="E40" i="7"/>
  <c r="E38" i="7"/>
  <c r="E18" i="7"/>
  <c r="E19" i="7"/>
  <c r="E17" i="7"/>
  <c r="F20" i="7"/>
  <c r="F18" i="7"/>
  <c r="B32" i="1"/>
  <c r="B33" i="1" s="1"/>
  <c r="B34" i="1" s="1"/>
  <c r="B35" i="1" s="1"/>
  <c r="B36" i="1" s="1"/>
  <c r="AA25" i="2"/>
  <c r="AA23" i="2"/>
  <c r="J12" i="3" s="1"/>
  <c r="AA24" i="2"/>
  <c r="J13" i="3" s="1"/>
  <c r="N40" i="2" l="1"/>
  <c r="O34" i="3"/>
  <c r="O33" i="3"/>
  <c r="K30" i="2"/>
  <c r="J25" i="3" s="1"/>
  <c r="K31" i="2"/>
  <c r="J26" i="3" s="1"/>
  <c r="K32" i="2"/>
  <c r="J27" i="3" s="1"/>
  <c r="K33" i="2"/>
  <c r="J28" i="3" s="1"/>
  <c r="K34" i="2"/>
  <c r="J29" i="3" s="1"/>
  <c r="K29" i="2"/>
  <c r="C30" i="2"/>
  <c r="C25" i="3" s="1"/>
  <c r="C31" i="2"/>
  <c r="C26" i="3" s="1"/>
  <c r="C32" i="2"/>
  <c r="C27" i="3" s="1"/>
  <c r="C33" i="2"/>
  <c r="C28" i="3" s="1"/>
  <c r="C34" i="2"/>
  <c r="C29" i="3" s="1"/>
  <c r="C29" i="2"/>
  <c r="C24" i="3" s="1"/>
  <c r="U25" i="2"/>
  <c r="C25" i="2"/>
  <c r="H25" i="2"/>
  <c r="K25" i="2"/>
  <c r="X25" i="2" s="1"/>
  <c r="C71" i="2"/>
  <c r="C70" i="2"/>
  <c r="B39" i="2"/>
  <c r="B30" i="2"/>
  <c r="B31" i="2" s="1"/>
  <c r="B32" i="2" s="1"/>
  <c r="B33" i="2" s="1"/>
  <c r="B34" i="2" s="1"/>
  <c r="B24" i="2"/>
  <c r="I14" i="7"/>
  <c r="G14" i="7"/>
  <c r="I13" i="7"/>
  <c r="G13" i="7"/>
  <c r="I12" i="7"/>
  <c r="G12" i="7"/>
  <c r="C32" i="3"/>
  <c r="U35" i="3"/>
  <c r="U34" i="3"/>
  <c r="U33" i="3"/>
  <c r="P29" i="2" l="1"/>
  <c r="U29" i="2" s="1"/>
  <c r="J24" i="3"/>
  <c r="U24" i="2"/>
  <c r="O35" i="3"/>
  <c r="AD25" i="2"/>
  <c r="X24" i="2" l="1"/>
  <c r="AD24" i="2" s="1"/>
  <c r="H13" i="3"/>
  <c r="X23" i="2"/>
  <c r="H70" i="2"/>
  <c r="T38" i="2" l="1"/>
  <c r="T39" i="2"/>
  <c r="W38" i="2" s="1"/>
  <c r="H71" i="2" l="1"/>
  <c r="K70" i="2" s="1"/>
  <c r="Z38" i="2"/>
  <c r="O70" i="2" l="1"/>
  <c r="B52" i="3"/>
  <c r="U70" i="2"/>
  <c r="C75" i="1"/>
  <c r="K75" i="1"/>
  <c r="AD2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Charisma</author>
  </authors>
  <commentList>
    <comment ref="B13" authorId="0" shapeId="0" xr:uid="{48563414-1F97-4BEE-9746-6A7015B79300}">
      <text>
        <r>
          <rPr>
            <b/>
            <sz val="9"/>
            <color indexed="81"/>
            <rFont val="Tahoma"/>
            <family val="2"/>
          </rPr>
          <t>Charisma:</t>
        </r>
        <r>
          <rPr>
            <sz val="9"/>
            <color indexed="81"/>
            <rFont val="Tahoma"/>
            <family val="2"/>
          </rPr>
          <t xml:space="preserve">
Nilai setting vendor</t>
        </r>
      </text>
    </comment>
    <comment ref="D13" authorId="0" shapeId="0" xr:uid="{852B3AA3-C2C9-4FF5-A405-46C5CE19CBEC}">
      <text>
        <r>
          <rPr>
            <b/>
            <sz val="9"/>
            <color indexed="81"/>
            <rFont val="Tahoma"/>
            <family val="2"/>
          </rPr>
          <t>Charisma:</t>
        </r>
        <r>
          <rPr>
            <sz val="9"/>
            <color indexed="81"/>
            <rFont val="Tahoma"/>
            <family val="2"/>
          </rPr>
          <t xml:space="preserve">
Nilai terukur pada alat sendiri</t>
        </r>
      </text>
    </comment>
  </commentList>
</comments>
</file>

<file path=xl/sharedStrings.xml><?xml version="1.0" encoding="utf-8"?>
<sst xmlns="http://schemas.openxmlformats.org/spreadsheetml/2006/main" count="1051" uniqueCount="393">
  <si>
    <t>LEMBAR KERJA PENGUJIAN DAN KALIBRASI</t>
  </si>
  <si>
    <t>CENTRIFUGE</t>
  </si>
  <si>
    <t>A.</t>
  </si>
  <si>
    <t>PENDATAAN ADMINISTRASI</t>
  </si>
  <si>
    <t>1.</t>
  </si>
  <si>
    <t>Nama Faskes</t>
  </si>
  <si>
    <t>:</t>
  </si>
  <si>
    <t>8.</t>
  </si>
  <si>
    <t>2.</t>
  </si>
  <si>
    <t>9.</t>
  </si>
  <si>
    <t>3.</t>
  </si>
  <si>
    <t>Merk</t>
  </si>
  <si>
    <t>10.</t>
  </si>
  <si>
    <t>Tanggal Penerimaan</t>
  </si>
  <si>
    <t>4.</t>
  </si>
  <si>
    <t>Tipe</t>
  </si>
  <si>
    <t>Tanggal Kalibrasi</t>
  </si>
  <si>
    <t>5.</t>
  </si>
  <si>
    <t>Nomor Seri</t>
  </si>
  <si>
    <t>6.</t>
  </si>
  <si>
    <t>Resolusi Alat</t>
  </si>
  <si>
    <t>Metode Kerja</t>
  </si>
  <si>
    <t>7.</t>
  </si>
  <si>
    <t>Rentang Ukur</t>
  </si>
  <si>
    <t>s/d</t>
  </si>
  <si>
    <t>B.</t>
  </si>
  <si>
    <t>DAFTAR ALAT UKUR</t>
  </si>
  <si>
    <t>No.</t>
  </si>
  <si>
    <t>Nama Alat</t>
  </si>
  <si>
    <t>No. Seri</t>
  </si>
  <si>
    <t>Electrical Safety Analyzer</t>
  </si>
  <si>
    <t>288 PLUS</t>
  </si>
  <si>
    <t>17Q-1323</t>
  </si>
  <si>
    <t>Thermohygrometer</t>
  </si>
  <si>
    <t>HTC-1</t>
  </si>
  <si>
    <t>RKS-THG-010</t>
  </si>
  <si>
    <t>C.</t>
  </si>
  <si>
    <t>Parameter</t>
  </si>
  <si>
    <t>Terukur</t>
  </si>
  <si>
    <t>Toleransi</t>
  </si>
  <si>
    <t>Awal</t>
  </si>
  <si>
    <t>°C</t>
  </si>
  <si>
    <t>Akhir</t>
  </si>
  <si>
    <t>Tegangan Utama</t>
  </si>
  <si>
    <t>P - N</t>
  </si>
  <si>
    <t>Vac</t>
  </si>
  <si>
    <t>D.</t>
  </si>
  <si>
    <t>PEMERIKSAAN FISIK DAN FUNGSI ALAT</t>
  </si>
  <si>
    <t>Baik</t>
  </si>
  <si>
    <t>=</t>
  </si>
  <si>
    <t>Tidak Baik</t>
  </si>
  <si>
    <t>Batasan Pemeriksaan</t>
  </si>
  <si>
    <t>Hasil Pengamatan</t>
  </si>
  <si>
    <t>Badan dan permukaan</t>
  </si>
  <si>
    <t>selungkup utuh, bersih, terpasang ketat satu dan lainnya dan tidak ada bekas tertimpa cairan ataupun gangguan lainnya.</t>
  </si>
  <si>
    <t>Kotak Kontak Alat</t>
  </si>
  <si>
    <t>Periksa apakah ada gangguan pada kotak kontak (AC-Power). Gerak-gerakkan kotak kontak untuk memastikan keamanannya. Goyang-goyangkan kotak kontak untuk memastikan tidak ada baut atau mur yang longgar.</t>
  </si>
  <si>
    <t>Kabel Catu Utama</t>
  </si>
  <si>
    <t>Periksa kabel, apakah terlihat ada kerusakan atau bagian isolasi yang terkelupas.</t>
  </si>
  <si>
    <t>Sekering pengaman</t>
  </si>
  <si>
    <t>Periksa sekering yang terdapat pada bagian luar rangkaian, apakah nilai tahanan dan tipenya sesuai dengan spesifikasi yang tertulis pada alat. Sekering pengaman harus berfungsi baik.</t>
  </si>
  <si>
    <t>Tombol, saklar dan control</t>
  </si>
  <si>
    <t>Sebelum mempergunakan/mengubah-ubah tombol kontrol, periksa posisi, jika terlihat tidak berada pada posisinya (periksa dengan menggunakan mode pemeriksaan standar). Bandingkan dengan posisi kontrol. Ingat pengaturan tersebut dan jangan lupa mengembalikan pada posisi awal apabila sudah selesai menggunakan alat.</t>
  </si>
  <si>
    <t>Tampilan dan indikator</t>
  </si>
  <si>
    <t>Pastikan lampu indikator dan tampilan berfungsi seluruhnya</t>
  </si>
  <si>
    <t>E.</t>
  </si>
  <si>
    <t>PENGUJIAN KESALAMATAN LISTRIK</t>
  </si>
  <si>
    <t xml:space="preserve">Tipe </t>
  </si>
  <si>
    <t xml:space="preserve">Terukur </t>
  </si>
  <si>
    <t>Kelas</t>
  </si>
  <si>
    <t>I</t>
  </si>
  <si>
    <t>Resistansi isolasi</t>
  </si>
  <si>
    <t>&gt;</t>
  </si>
  <si>
    <t>MΩ</t>
  </si>
  <si>
    <t>Ambang Batas</t>
  </si>
  <si>
    <t>Ω</t>
  </si>
  <si>
    <t xml:space="preserve">≤ </t>
  </si>
  <si>
    <t>Ω</t>
  </si>
  <si>
    <t xml:space="preserve"> µA</t>
  </si>
  <si>
    <t xml:space="preserve"> ≤ </t>
  </si>
  <si>
    <t>Resistansi Isolasi</t>
  </si>
  <si>
    <t>F.</t>
  </si>
  <si>
    <t>Arus bocor bagian yang diaplikasikan metode langsun/alternative</t>
  </si>
  <si>
    <t>KESIMPULAN</t>
  </si>
  <si>
    <t>Arus bocor bagian yang diaplikasikan metode langsung tipe BF</t>
  </si>
  <si>
    <t>Berdasarkan hasil pengamatan kondisi alat dan pengukuran kinerjanya, maka peralatan ini dinyatakan: *</t>
  </si>
  <si>
    <t>Arus bocor bagian yang diaplikasikan metode langsung tipe CF</t>
  </si>
  <si>
    <t>Arus bocor bagian yang diaplikasikan metode alternative tipe BF</t>
  </si>
  <si>
    <t>LAIK PAKAI</t>
  </si>
  <si>
    <t>TIDAK LAIK PAKAI</t>
  </si>
  <si>
    <t>Arus bocor bagian yang diaplikasikan metode alternative tipe CF</t>
  </si>
  <si>
    <t>Pengukuran arus bocor yang diaplikasikan tidak dilakukan (tidak ada bagian yang diaplikasikan)</t>
  </si>
  <si>
    <t>Resistansi pembumian protektif :</t>
  </si>
  <si>
    <t xml:space="preserve">PENGOLAHAN DATA </t>
  </si>
  <si>
    <t>PENGUJIAN DAN KALIBRASI</t>
  </si>
  <si>
    <t>Identitas Alat</t>
  </si>
  <si>
    <t>Identitas Standar</t>
  </si>
  <si>
    <t>Koreksi Sertifikat</t>
  </si>
  <si>
    <t>Ktps</t>
  </si>
  <si>
    <t>Hasil Memenuhi/ Tidak</t>
  </si>
  <si>
    <t>Pemeriksaan Fisik dan Fungsi Alat</t>
  </si>
  <si>
    <t>No</t>
  </si>
  <si>
    <t>score</t>
  </si>
  <si>
    <t>kesimpulan</t>
  </si>
  <si>
    <t>Pengukuran Keselamatan Listrik</t>
  </si>
  <si>
    <t xml:space="preserve">Hasil </t>
  </si>
  <si>
    <t>Hasil</t>
  </si>
  <si>
    <t>Bobot</t>
  </si>
  <si>
    <t>µA</t>
  </si>
  <si>
    <t>MΩ</t>
  </si>
  <si>
    <t>Mean</t>
  </si>
  <si>
    <t>Koreksi</t>
  </si>
  <si>
    <t>Telaah teknis dan kesimpulan</t>
  </si>
  <si>
    <t>Skor</t>
  </si>
  <si>
    <t xml:space="preserve">Total </t>
  </si>
  <si>
    <t>Kesimpulan</t>
  </si>
  <si>
    <t>IDENTITAS ALAT</t>
  </si>
  <si>
    <t>KONDISI LINGKUNGAN</t>
  </si>
  <si>
    <t>Suhu</t>
  </si>
  <si>
    <t>(</t>
  </si>
  <si>
    <t>±</t>
  </si>
  <si>
    <t>DAFTAR ALAT YANG DIGUNAKAN</t>
  </si>
  <si>
    <t>PEMERIKSAAN KONDISI FISIK DAN FUNGSI (CEK KUALITATIF)</t>
  </si>
  <si>
    <t>PENGUKURAN KESELAMATAN LISTRIK</t>
  </si>
  <si>
    <t>HASIL KALIBRASI</t>
  </si>
  <si>
    <t>Penunjukan Standar</t>
  </si>
  <si>
    <t xml:space="preserve">Koreksi </t>
  </si>
  <si>
    <t xml:space="preserve">KESIMPULAN </t>
  </si>
  <si>
    <t>KETERANGAN</t>
  </si>
  <si>
    <t>Penunjukan Alat</t>
  </si>
  <si>
    <t>Ketidakpastian</t>
  </si>
  <si>
    <t>slope b =</t>
  </si>
  <si>
    <t>= intersept : a</t>
  </si>
  <si>
    <t>standard deviation of slope :</t>
  </si>
  <si>
    <t>= standard deviation of intercept</t>
  </si>
  <si>
    <t>Coefficient of determination : r2</t>
  </si>
  <si>
    <t>= standard error of regression</t>
  </si>
  <si>
    <t>Fisher F-statistics</t>
  </si>
  <si>
    <t>= Degree of the regression</t>
  </si>
  <si>
    <t>Sum of square due to regression</t>
  </si>
  <si>
    <t>= sum of square due to residual</t>
  </si>
  <si>
    <t>Model/Type</t>
  </si>
  <si>
    <t>Ketelusuran</t>
  </si>
  <si>
    <t>No. Sertifikat</t>
  </si>
  <si>
    <t>Type</t>
  </si>
  <si>
    <t>SUHU</t>
  </si>
  <si>
    <t>KELEMBABAN</t>
  </si>
  <si>
    <t>uncert</t>
  </si>
  <si>
    <r>
      <rPr>
        <sz val="11"/>
        <color theme="1"/>
        <rFont val="Calibri"/>
        <family val="2"/>
      </rPr>
      <t>°</t>
    </r>
    <r>
      <rPr>
        <sz val="10.25"/>
        <color theme="1"/>
        <rFont val="Arial"/>
        <family val="2"/>
      </rPr>
      <t>C</t>
    </r>
  </si>
  <si>
    <t>%RH</t>
  </si>
  <si>
    <t>Range</t>
  </si>
  <si>
    <t>Pembacaan Alat (Ω)</t>
  </si>
  <si>
    <t>1. Earth Bond</t>
  </si>
  <si>
    <t>2. Earth Leakage</t>
  </si>
  <si>
    <t>Range ( µA)</t>
  </si>
  <si>
    <t>Pembacaan Alat ( µA)</t>
  </si>
  <si>
    <t>Penunjukan Standar ( µA)</t>
  </si>
  <si>
    <t>Penunjukan Standar (Ω)</t>
  </si>
  <si>
    <t>3. Direct Equipment Leakage</t>
  </si>
  <si>
    <t>4. Insulation EUT</t>
  </si>
  <si>
    <t>5. Enclosure Leakage</t>
  </si>
  <si>
    <t>Ruangan Kalibrasi</t>
  </si>
  <si>
    <t>-</t>
  </si>
  <si>
    <t>Ketertelusuran</t>
  </si>
  <si>
    <t>LK-032-IDN</t>
  </si>
  <si>
    <t>Suhu Ruangan (°C)</t>
  </si>
  <si>
    <t>10°C s/d 40°C</t>
  </si>
  <si>
    <t>Kelembaban Ruangan (%RH)</t>
  </si>
  <si>
    <t>15%RH s/d 85%RH</t>
  </si>
  <si>
    <t xml:space="preserve">RIGEL </t>
  </si>
  <si>
    <t>Kondisi Lingkungan</t>
  </si>
  <si>
    <t>Resolusi</t>
  </si>
  <si>
    <t>)</t>
  </si>
  <si>
    <t>Kelembapan</t>
  </si>
  <si>
    <t>% RH</t>
  </si>
  <si>
    <t>Nilai Ketidakpastian pengukuran mempunyai tingkat kepercayaan 95% dengan factor cakupan k = 2</t>
  </si>
  <si>
    <t>Nama Pelayanan</t>
  </si>
  <si>
    <t>PELAKSANAAN KALIBRASI</t>
  </si>
  <si>
    <t>Pelaksana Teknis</t>
  </si>
  <si>
    <t>Nomor Pesanan</t>
  </si>
  <si>
    <t>=====Akhir Sertifikat=====</t>
  </si>
  <si>
    <t>11-01-2024</t>
  </si>
  <si>
    <t>S. 23 018 845</t>
  </si>
  <si>
    <t>RIGEL</t>
  </si>
  <si>
    <t>% of reading</t>
  </si>
  <si>
    <t>18-07-2023</t>
  </si>
  <si>
    <t>BF</t>
  </si>
  <si>
    <t>II</t>
  </si>
  <si>
    <t>B</t>
  </si>
  <si>
    <t>Metode</t>
  </si>
  <si>
    <t>CF</t>
  </si>
  <si>
    <t>TIPE / KELAS</t>
  </si>
  <si>
    <t>Langsung</t>
  </si>
  <si>
    <t>Diferensial</t>
  </si>
  <si>
    <t>Alternative</t>
  </si>
  <si>
    <t>Arus bocor peralatan metode Kelas II tipe B</t>
  </si>
  <si>
    <t>Arus bocor peralatan metode Kelas II tipe BF</t>
  </si>
  <si>
    <t>Arus bocor peralatan metode Kelas II tipe CF</t>
  </si>
  <si>
    <t>AUTOCLAVE</t>
  </si>
  <si>
    <t>RKS/MT/IK.01-010</t>
  </si>
  <si>
    <t>PENGUKURAN KINERJA</t>
  </si>
  <si>
    <t>Pengujian Kinerja</t>
  </si>
  <si>
    <t>S1 : Titik Ukur/ Acuan, sensor temperature alat standar diletakan dekat sensor temperature autoclave.</t>
  </si>
  <si>
    <t xml:space="preserve">S2 : Titik Ukur/ Acuan, sensor temperature alat standar diletakan pada titik suhu terendah dalam pengujian </t>
  </si>
  <si>
    <t>S3 : Titik Ukur/ Acuan, sensor temperature alat standar diletakan didetak heater / sumber panas</t>
  </si>
  <si>
    <t>Setting pada UUT</t>
  </si>
  <si>
    <t>Pembacaan pada Alat Standar</t>
  </si>
  <si>
    <t>Waktu</t>
  </si>
  <si>
    <t>Suhu S1</t>
  </si>
  <si>
    <t>Suhu S2</t>
  </si>
  <si>
    <t>Suhu S3</t>
  </si>
  <si>
    <t>121°C</t>
  </si>
  <si>
    <t>134°C</t>
  </si>
  <si>
    <t>Tabel Toleransi</t>
  </si>
  <si>
    <t>Autoclave dengan Monitoring</t>
  </si>
  <si>
    <t>Autoclave tanpa Monitoring</t>
  </si>
  <si>
    <t>1. ∆T1 = S1 – S2 holding time</t>
  </si>
  <si>
    <t>± 2°C</t>
  </si>
  <si>
    <t>2. ∆T2 = S1 – S3 dalam 60 detik</t>
  </si>
  <si>
    <t>± 5°C</t>
  </si>
  <si>
    <t>3. ∆T3 = S1 – S3 setelah 60 detik</t>
  </si>
  <si>
    <t>4. Akurasi Temperatur</t>
  </si>
  <si>
    <t>118°C s.d 123°C</t>
  </si>
  <si>
    <t>131°C s.d 137°C</t>
  </si>
  <si>
    <t>5. Waktu Sterilisasi</t>
  </si>
  <si>
    <t>≥ 15 menit</t>
  </si>
  <si>
    <t>≥ 3 menit</t>
  </si>
  <si>
    <t>Pengukuran Kinerja</t>
  </si>
  <si>
    <t xml:space="preserve"> </t>
  </si>
  <si>
    <t xml:space="preserve">1. Akurasi Temperature </t>
  </si>
  <si>
    <r>
      <t>Setting Alat (</t>
    </r>
    <r>
      <rPr>
        <b/>
        <sz val="11"/>
        <rFont val="Calibri"/>
        <family val="2"/>
      </rPr>
      <t>°</t>
    </r>
    <r>
      <rPr>
        <b/>
        <sz val="11"/>
        <rFont val="Arial"/>
        <family val="2"/>
      </rPr>
      <t>C)</t>
    </r>
  </si>
  <si>
    <r>
      <t>Hasil Pengukuran (</t>
    </r>
    <r>
      <rPr>
        <b/>
        <sz val="11"/>
        <rFont val="Calibri"/>
        <family val="2"/>
      </rPr>
      <t>°</t>
    </r>
    <r>
      <rPr>
        <b/>
        <sz val="11"/>
        <rFont val="Arial"/>
        <family val="2"/>
      </rPr>
      <t>C)</t>
    </r>
  </si>
  <si>
    <t>Stdv</t>
  </si>
  <si>
    <t>Mean terkoreksi</t>
  </si>
  <si>
    <t>U95</t>
  </si>
  <si>
    <t>∑koreksi + U95</t>
  </si>
  <si>
    <t>Penyimpangan yg diizinkan</t>
  </si>
  <si>
    <t>± 2 °C</t>
  </si>
  <si>
    <t>2. Akurasi Waktu</t>
  </si>
  <si>
    <t>Setting Alat (Menit)</t>
  </si>
  <si>
    <t>Hasil Pengukuran (Menit)</t>
  </si>
  <si>
    <r>
      <rPr>
        <sz val="11"/>
        <color theme="1"/>
        <rFont val="Calibri"/>
        <family val="2"/>
      </rPr>
      <t>≥</t>
    </r>
    <r>
      <rPr>
        <sz val="11"/>
        <color theme="1"/>
        <rFont val="Arial"/>
        <family val="2"/>
      </rPr>
      <t xml:space="preserve"> 15 Menit</t>
    </r>
  </si>
  <si>
    <t>Hasil Pengukuran Kinerja</t>
  </si>
  <si>
    <t>Score</t>
  </si>
  <si>
    <t xml:space="preserve">Akurasi </t>
  </si>
  <si>
    <t xml:space="preserve">Tgl. Kalibrasi </t>
  </si>
  <si>
    <t>Temperature</t>
  </si>
  <si>
    <t>Uncertainty</t>
  </si>
  <si>
    <r>
      <rPr>
        <sz val="11"/>
        <color theme="1"/>
        <rFont val="Calibri"/>
        <family val="2"/>
      </rPr>
      <t>°</t>
    </r>
    <r>
      <rPr>
        <sz val="11"/>
        <color theme="1"/>
        <rFont val="Arial"/>
        <family val="2"/>
      </rPr>
      <t>C</t>
    </r>
  </si>
  <si>
    <t xml:space="preserve">Budget Ketidakpastian </t>
  </si>
  <si>
    <t xml:space="preserve">n </t>
  </si>
  <si>
    <t>resolusi UUT</t>
  </si>
  <si>
    <t>Akurasi Temperature</t>
  </si>
  <si>
    <t xml:space="preserve">Titik Ukur </t>
  </si>
  <si>
    <t>Komponen</t>
  </si>
  <si>
    <t>Satuan</t>
  </si>
  <si>
    <t>Distribusi</t>
  </si>
  <si>
    <t>U</t>
  </si>
  <si>
    <t>Pembagi</t>
  </si>
  <si>
    <t>v</t>
  </si>
  <si>
    <t>u</t>
  </si>
  <si>
    <t>c</t>
  </si>
  <si>
    <t>(u.c)</t>
  </si>
  <si>
    <r>
      <t>(u.c)</t>
    </r>
    <r>
      <rPr>
        <b/>
        <sz val="10"/>
        <color indexed="8"/>
        <rFont val="Arial"/>
        <family val="2"/>
      </rPr>
      <t>²</t>
    </r>
  </si>
  <si>
    <r>
      <t>(u.c)</t>
    </r>
    <r>
      <rPr>
        <b/>
        <sz val="10"/>
        <color indexed="8"/>
        <rFont val="Arial"/>
        <family val="2"/>
      </rPr>
      <t>⁴/v</t>
    </r>
  </si>
  <si>
    <t>U = stdv</t>
  </si>
  <si>
    <t>Pembacaan berulang</t>
  </si>
  <si>
    <t>normal</t>
  </si>
  <si>
    <t>pembagi UA = akar n</t>
  </si>
  <si>
    <t>Pembagi UB1 = K = 2</t>
  </si>
  <si>
    <t>sertifikat Standar</t>
  </si>
  <si>
    <t>pembagi UB = akar 3</t>
  </si>
  <si>
    <t>Drift</t>
  </si>
  <si>
    <t>Segi 4</t>
  </si>
  <si>
    <t>v = derajat kebebasan</t>
  </si>
  <si>
    <t xml:space="preserve">u = ketidakpastian tipe A/B </t>
  </si>
  <si>
    <t>Jumlah</t>
  </si>
  <si>
    <t>c = koef sensitivitas = 1 bila semua parameter sama</t>
  </si>
  <si>
    <t>Ketidakpastian baku gabungan, Uc</t>
  </si>
  <si>
    <t>Derajat kebebasan efektif, V eff</t>
  </si>
  <si>
    <t>Faktor cakupan, k-student untuk Veff dan CL 95%</t>
  </si>
  <si>
    <t>Ketidakpastian bentangan, U=k.Uc</t>
  </si>
  <si>
    <t>G.</t>
  </si>
  <si>
    <t>Setting Alat</t>
  </si>
  <si>
    <t>(°C)</t>
  </si>
  <si>
    <r>
      <rPr>
        <sz val="11"/>
        <color theme="1"/>
        <rFont val="Calibri"/>
        <family val="2"/>
      </rPr>
      <t>±</t>
    </r>
    <r>
      <rPr>
        <sz val="11"/>
        <color theme="1"/>
        <rFont val="Arial"/>
        <family val="2"/>
      </rPr>
      <t xml:space="preserve"> 2 °C</t>
    </r>
  </si>
  <si>
    <t xml:space="preserve">Ketidakpastian Pengukuran : </t>
  </si>
  <si>
    <t>Setting Alat 
(Menit)</t>
  </si>
  <si>
    <t>Penunjukan Standar 
(Menit)</t>
  </si>
  <si>
    <t>Koreksi 
(Menit)</t>
  </si>
  <si>
    <t>Pembacaan Alat</t>
  </si>
  <si>
    <t>Stopwatch</t>
  </si>
  <si>
    <t>s</t>
  </si>
  <si>
    <t>LK-385-IDN</t>
  </si>
  <si>
    <t>Hasil pengujian dan kalibrasi hanya terkait dengan nomor seri di atas</t>
  </si>
  <si>
    <t>Nilai sebenarnya adalah nilai penunjukan alat ditambah dengan nilai koreksi</t>
  </si>
  <si>
    <t>Resistansi pembumian Instalasi permanen (PIE)</t>
  </si>
  <si>
    <t>Resistansi pembumian Kabel tidak dapat dilepas (NPS)</t>
  </si>
  <si>
    <t>Resistansi pembumian Kabel dapat dilepas (DPS)</t>
  </si>
  <si>
    <t>Resistansi pembumian Sistem elektromedik dengan kotak kontak multipel</t>
  </si>
  <si>
    <t>NAMA PELAYANAN</t>
  </si>
  <si>
    <t>Pelayanan rawat jalan</t>
  </si>
  <si>
    <t>Pelayanan UGD</t>
  </si>
  <si>
    <t>Bagian keuangan</t>
  </si>
  <si>
    <t>Ruang Rekam Medis</t>
  </si>
  <si>
    <t>Ruang Radiologi</t>
  </si>
  <si>
    <t>Ruang Direksi</t>
  </si>
  <si>
    <t>Ruang ICU</t>
  </si>
  <si>
    <t>Pelayanan bedah sentral (OK)</t>
  </si>
  <si>
    <t>Ruang Komite Medis</t>
  </si>
  <si>
    <t>Pelayanan Rawat Inap</t>
  </si>
  <si>
    <t>Kebidanan dan penyakit kandungan</t>
  </si>
  <si>
    <t>Instalasi Farmasi</t>
  </si>
  <si>
    <t>Instalasi dapur utama dan Gizi Klinik</t>
  </si>
  <si>
    <t>Instalasi pemulasaraan jenazah</t>
  </si>
  <si>
    <t>Instalasi laboratorium</t>
  </si>
  <si>
    <t>Instalasi pencucian linen/laundri</t>
  </si>
  <si>
    <t>Bank Darah/Unit Transfusi Darah</t>
  </si>
  <si>
    <t>Instalasi sanitasi</t>
  </si>
  <si>
    <t>Instalasi pemeliharaan sarana</t>
  </si>
  <si>
    <t>Instalasi sterilisasi pusat</t>
  </si>
  <si>
    <t>Ruangan Bidang Keperawatan</t>
  </si>
  <si>
    <t>Ruangan bidang pelayanan medis</t>
  </si>
  <si>
    <t>Unit Hemodialisa</t>
  </si>
  <si>
    <t>Ruangan komite medis</t>
  </si>
  <si>
    <t>Instalasi radiodiagnostik</t>
  </si>
  <si>
    <t>Pelayanan perawatan intensif bayi</t>
  </si>
  <si>
    <t>Bidang pelayanan penunjang medik</t>
  </si>
  <si>
    <t>Instalasi rehabilitasi medik</t>
  </si>
  <si>
    <t>Ruangan Pendidikan dan pelatihan</t>
  </si>
  <si>
    <t>Ruangan SDM</t>
  </si>
  <si>
    <t>Ruang sekretaris direktur</t>
  </si>
  <si>
    <t>Ruangan rapat dan diskusi</t>
  </si>
  <si>
    <t>Ruangan SPI (satuan pengawas internal)</t>
  </si>
  <si>
    <t>Ruangan arsip/file</t>
  </si>
  <si>
    <t>Ruangan Tunggu</t>
  </si>
  <si>
    <t>Kalibrasi menggunakan Instruksi Kerja (RKS/MT/IK.01-010) yang mengacu ke Keputusan Direktur Jendral Pelayanan Kesehatan Nomor : HK.02.02/D/43649/2024, Metode Kerja Pengujian dan Kalibrasi Alat Kesehatan, Kementrian Kesehatan RI</t>
  </si>
  <si>
    <t>High Temperature Data Logger</t>
  </si>
  <si>
    <t>MADGETECH</t>
  </si>
  <si>
    <t>HiTemp140</t>
  </si>
  <si>
    <t>T53884</t>
  </si>
  <si>
    <t>AC-2481</t>
  </si>
  <si>
    <t>17 November 22025</t>
  </si>
  <si>
    <r>
      <rPr>
        <sz val="11"/>
        <rFont val="Calibri"/>
        <family val="2"/>
      </rPr>
      <t>±</t>
    </r>
    <r>
      <rPr>
        <sz val="11"/>
        <rFont val="Arial"/>
        <family val="2"/>
      </rPr>
      <t>0.10</t>
    </r>
    <r>
      <rPr>
        <sz val="11"/>
        <rFont val="Calibri"/>
        <family val="2"/>
      </rPr>
      <t>°</t>
    </r>
    <r>
      <rPr>
        <sz val="11"/>
        <rFont val="Arial"/>
        <family val="2"/>
      </rPr>
      <t>C</t>
    </r>
  </si>
  <si>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</si>
  <si>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</si>
  <si>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</si>
  <si>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</si>
  <si>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</si>
  <si>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</si>
  <si>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</si>
  <si>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</si>
  <si>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</si>
  <si>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</si>
  <si>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</si>
  <si>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</si>
  <si>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</si>
  <si>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</si>
  <si>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</si>
  <si>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</si>
  <si>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</si>
  <si>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</si>
  <si>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</si>
  <si>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</si>
  <si>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</si>
  <si>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</si>
  <si>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</si>
  <si>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</si>
  <si>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</si>
  <si>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CITIZEN</t>
  </si>
  <si>
    <t>8RDA55</t>
  </si>
  <si>
    <t>Z0775G</t>
  </si>
  <si>
    <t>13-03-2026</t>
  </si>
  <si>
    <t>S. 26 004 123</t>
  </si>
  <si>
    <t>detik</t>
  </si>
  <si>
    <t>Normal</t>
  </si>
  <si>
    <t>Human Reaction Time bias</t>
  </si>
  <si>
    <t>Human Reaction Time Standar Deviasi</t>
  </si>
  <si>
    <t>SAFETEST 60 PLUS</t>
  </si>
  <si>
    <t>40S-0111</t>
  </si>
  <si>
    <t>15 OKTOBER 2026</t>
  </si>
  <si>
    <t>Resistansi Pembumian</t>
  </si>
  <si>
    <t>arus bocor peralatan</t>
  </si>
  <si>
    <t>arus bocor peralatan yang diaplikasikan</t>
  </si>
  <si>
    <t>resistansi isolasi</t>
  </si>
  <si>
    <t>menit</t>
  </si>
  <si>
    <t>MARSHEL ASYRAF DALTAFIKA</t>
  </si>
  <si>
    <t>LOKAL</t>
  </si>
  <si>
    <t>YA28X6T/8</t>
  </si>
  <si>
    <t>A250705-510</t>
  </si>
  <si>
    <t>02 JUL 2026</t>
  </si>
  <si>
    <t>Klinik Pratama Ocean Dental  Radio Dalam</t>
  </si>
  <si>
    <t>STERILISASI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</si>
</sst>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_(* \(#,##0\);_(* &quot;-&quot;_);_(@_)"/>
    <numFmt numFmtId="164" formatCode="0.0"/>
    <numFmt numFmtId="165" formatCode="[$-421]dd\ mmmm\ yyyy;@"/>
    <numFmt numFmtId="166" formatCode="0.000"/>
    <numFmt numFmtId="167" formatCode="[$-409]d\-mmm\-yyyy;@"/>
    <numFmt numFmtId="168" formatCode="0.000000000000000"/>
    <numFmt numFmtId="169" formatCode="0.00000000000000E+00"/>
    <numFmt numFmtId="170" formatCode="0.00000"/>
    <numFmt numFmtId="171" formatCode="0.0000"/>
  </numFmts>
  <fonts count="29" x14ac:knownFonts="1">
    <font>
      <sz val="11"/>
      <color theme="1"/>
      <name val="Calibri"/>
      <family val="2"/>
      <scheme val="minor"/>
    </font>
    <font>
      <sz val="11"/>
      <color theme="1"/>
      <name val="Calibri"/>
      <family val="2"/>
      <scheme val="minor"/>
    </font>
    <font>
      <sz val="11"/>
      <name val="Arial"/>
      <family val="2"/>
    </font>
    <font>
      <b/>
      <sz val="11"/>
      <name val="Arial"/>
      <family val="2"/>
    </font>
    <font>
      <b/>
      <sz val="14"/>
      <name val="Arial"/>
      <family val="2"/>
    </font>
    <font>
      <sz val="11"/>
      <color theme="1"/>
      <name val="Arial"/>
      <family val="2"/>
    </font>
    <font>
      <sz val="10"/>
      <name val="Arial"/>
      <family val="2"/>
    </font>
    <font>
      <b/>
      <sz val="11"/>
      <color theme="1"/>
      <name val="Arial"/>
      <family val="2"/>
    </font>
    <font>
      <sz val="10"/>
      <color theme="1"/>
      <name val="Arial"/>
      <family val="2"/>
    </font>
    <font>
      <i/>
      <sz val="9"/>
      <color theme="1"/>
      <name val="Arial"/>
      <family val="2"/>
    </font>
    <font>
      <b/>
      <sz val="22"/>
      <color theme="1"/>
      <name val="Arial"/>
      <family val="2"/>
    </font>
    <font>
      <sz val="11"/>
      <color theme="1"/>
      <name val="Calibri"/>
      <family val="2"/>
    </font>
    <font>
      <sz val="10.25"/>
      <color theme="1"/>
      <name val="Arial"/>
      <family val="2"/>
    </font>
    <font>
      <sz val="8"/>
      <name val="Calibri"/>
      <family val="2"/>
      <scheme val="minor"/>
    </font>
    <font>
      <b/>
      <sz val="11"/>
      <color theme="1"/>
      <name val="Calibri"/>
      <family val="2"/>
      <scheme val="minor"/>
    </font>
    <font>
      <b/>
      <sz val="11"/>
      <name val="Calibri Light"/>
      <family val="2"/>
    </font>
    <font>
      <b/>
      <sz val="11"/>
      <name val="Calibri"/>
      <family val="2"/>
    </font>
    <font>
      <b/>
      <sz val="11"/>
      <color theme="1"/>
      <name val="Calibri Light"/>
      <family val="2"/>
    </font>
    <font>
      <sz val="11"/>
      <color theme="1"/>
      <name val="Calibri Light"/>
      <family val="2"/>
    </font>
    <font>
      <u/>
      <sz val="9.9"/>
      <color theme="10"/>
      <name val="Calibri"/>
      <family val="2"/>
      <charset val="1"/>
    </font>
    <font>
      <sz val="11"/>
      <name val="Calibri"/>
      <family val="2"/>
    </font>
    <font>
      <b/>
      <sz val="9"/>
      <color indexed="81"/>
      <name val="Tahoma"/>
      <family val="2"/>
    </font>
    <font>
      <sz val="9"/>
      <color indexed="81"/>
      <name val="Tahoma"/>
      <family val="2"/>
    </font>
    <font>
      <b/>
      <sz val="14"/>
      <color theme="1"/>
      <name val="Arial"/>
      <family val="2"/>
    </font>
    <font>
      <b/>
      <sz val="16"/>
      <color theme="1"/>
      <name val="Calibri"/>
      <family val="2"/>
      <scheme val="minor"/>
    </font>
    <font>
      <b/>
      <sz val="10"/>
      <color theme="1"/>
      <name val="Arial"/>
      <family val="2"/>
    </font>
    <font>
      <sz val="12"/>
      <name val="Calibri"/>
      <family val="2"/>
      <scheme val="minor"/>
    </font>
    <font>
      <b/>
      <sz val="10"/>
      <color indexed="8"/>
      <name val="Arial"/>
      <family val="2"/>
    </font>
    <font>
      <i/>
      <sz val="11"/>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bgColor indexed="64"/>
      </patternFill>
    </fill>
    <fill>
      <patternFill patternType="solid">
        <fgColor rgb="FF92D050"/>
        <bgColor indexed="64"/>
      </patternFill>
    </fill>
    <fill>
      <patternFill patternType="solid">
        <fgColor rgb="FFFF0000"/>
        <bgColor indexed="64"/>
      </patternFill>
    </fill>
    <fill>
      <patternFill patternType="solid">
        <fgColor theme="5" tint="0.79998168889431442"/>
        <bgColor indexed="64"/>
      </patternFill>
    </fill>
    <fill>
      <patternFill patternType="solid">
        <fgColor rgb="FFFFFF00"/>
        <bgColor indexed="64"/>
      </patternFill>
    </fill>
    <fill>
      <patternFill patternType="solid">
        <fgColor theme="8"/>
        <bgColor indexed="64"/>
      </patternFill>
    </fill>
    <fill>
      <patternFill patternType="solid">
        <fgColor rgb="FFFFC000"/>
        <bgColor indexed="64"/>
      </patternFill>
    </fill>
    <fill>
      <patternFill patternType="solid">
        <fgColor theme="0" tint="-0.14999847407452621"/>
        <bgColor indexed="64"/>
      </patternFill>
    </fill>
  </fills>
  <borders count="32">
    <border>
      <left/>
      <right/>
      <top/>
      <bottom/>
      <diagonal/>
    </border>
    <border>
      <left/>
      <right/>
      <top style="double">
        <color indexed="64"/>
      </top>
      <bottom/>
      <diagonal/>
    </border>
    <border>
      <left style="thin">
        <color indexed="64"/>
      </left>
      <right/>
      <top/>
      <bottom/>
      <diagonal/>
    </border>
    <border>
      <left/>
      <right/>
      <top/>
      <bottom style="double">
        <color indexed="64"/>
      </bottom>
      <diagonal/>
    </border>
    <border>
      <left style="thin">
        <color indexed="64"/>
      </left>
      <right/>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n">
        <color indexed="64"/>
      </right>
      <top/>
      <bottom style="double">
        <color indexed="64"/>
      </bottom>
      <diagonal/>
    </border>
    <border>
      <left/>
      <right style="thin">
        <color indexed="64"/>
      </right>
      <top/>
      <bottom style="double">
        <color indexed="64"/>
      </bottom>
      <diagonal/>
    </border>
    <border>
      <left/>
      <right/>
      <top/>
      <bottom style="medium">
        <color indexed="64"/>
      </bottom>
      <diagonal/>
    </border>
    <border>
      <left/>
      <right/>
      <top style="medium">
        <color indexed="64"/>
      </top>
      <bottom style="thin">
        <color indexed="64"/>
      </bottom>
      <diagonal/>
    </border>
  </borders>
  <cellStyleXfs count="5">
    <xf numFmtId="0" fontId="0" fillId="0" borderId="0"/>
    <xf numFmtId="9" fontId="1" fillId="0" borderId="0" applyFont="0" applyFill="0" applyBorder="0" applyAlignment="0" applyProtection="0"/>
    <xf numFmtId="0" fontId="6" fillId="0" borderId="0"/>
    <xf numFmtId="41" fontId="1" fillId="0" borderId="0" applyFont="0" applyFill="0" applyBorder="0" applyAlignment="0" applyProtection="0"/>
    <xf numFmtId="0" fontId="19" fillId="0" borderId="0" applyNumberFormat="0" applyFill="0" applyBorder="0" applyAlignment="0" applyProtection="0">
      <alignment vertical="top"/>
      <protection locked="0"/>
    </xf>
  </cellStyleXfs>
  <cellXfs count="735">
    <xf numFmtId="0" fontId="0" fillId="0" borderId="0" xfId="0"/>
    <xf numFmtId="0" fontId="2" fillId="2" borderId="1" xfId="0" applyFont="1" applyFill="1" applyBorder="1" applyAlignment="1">
      <alignment vertical="center"/>
    </xf>
    <xf numFmtId="0" fontId="3" fillId="2" borderId="1" xfId="0" applyFont="1" applyFill="1" applyBorder="1" applyAlignment="1">
      <alignment vertical="center"/>
    </xf>
    <xf numFmtId="0" fontId="2" fillId="2" borderId="0" xfId="0" applyFont="1" applyFill="1" applyAlignment="1">
      <alignment vertical="center"/>
    </xf>
    <xf numFmtId="0" fontId="3" fillId="2" borderId="0" xfId="0" applyFont="1" applyFill="1" applyAlignment="1">
      <alignment vertical="center"/>
    </xf>
    <xf numFmtId="0" fontId="3" fillId="2" borderId="3" xfId="0" applyFont="1" applyFill="1" applyBorder="1" applyAlignment="1">
      <alignment vertical="center"/>
    </xf>
    <xf numFmtId="0" fontId="3" fillId="2" borderId="0" xfId="0" applyFont="1" applyFill="1" applyAlignment="1">
      <alignment horizontal="center" vertical="center"/>
    </xf>
    <xf numFmtId="0" fontId="2" fillId="2" borderId="0" xfId="0" applyFont="1" applyFill="1" applyAlignment="1">
      <alignment horizontal="center" vertical="center"/>
    </xf>
    <xf numFmtId="49" fontId="2" fillId="2" borderId="0" xfId="0" applyNumberFormat="1" applyFont="1" applyFill="1" applyAlignment="1">
      <alignment vertical="center"/>
    </xf>
    <xf numFmtId="0" fontId="2" fillId="2" borderId="0" xfId="0" applyFont="1" applyFill="1"/>
    <xf numFmtId="0" fontId="2" fillId="2" borderId="0" xfId="0" quotePrefix="1" applyFont="1" applyFill="1" applyAlignment="1">
      <alignment horizontal="center" vertical="center"/>
    </xf>
    <xf numFmtId="0" fontId="2" fillId="2" borderId="9"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0" xfId="0" applyFont="1" applyFill="1" applyAlignment="1">
      <alignment horizontal="left" vertical="center"/>
    </xf>
    <xf numFmtId="0" fontId="2" fillId="2" borderId="0" xfId="0" applyFont="1" applyFill="1" applyAlignment="1">
      <alignment horizontal="left" vertical="center" wrapText="1"/>
    </xf>
    <xf numFmtId="1" fontId="2" fillId="2" borderId="0" xfId="0" applyNumberFormat="1" applyFont="1" applyFill="1" applyAlignment="1">
      <alignment horizontal="center" vertical="center" wrapText="1"/>
    </xf>
    <xf numFmtId="0" fontId="2" fillId="2" borderId="0" xfId="0" applyFont="1" applyFill="1" applyAlignment="1">
      <alignment horizontal="center" vertical="center" wrapText="1"/>
    </xf>
    <xf numFmtId="0" fontId="3" fillId="2" borderId="0" xfId="0" applyFont="1" applyFill="1" applyAlignment="1">
      <alignment horizontal="left" vertical="center"/>
    </xf>
    <xf numFmtId="0" fontId="3" fillId="2" borderId="19" xfId="0" applyFont="1" applyFill="1" applyBorder="1" applyAlignment="1">
      <alignment horizontal="center" vertical="center"/>
    </xf>
    <xf numFmtId="0" fontId="2" fillId="2" borderId="19" xfId="0" applyFont="1" applyFill="1" applyBorder="1" applyAlignment="1">
      <alignment horizontal="center" wrapText="1"/>
    </xf>
    <xf numFmtId="0" fontId="2" fillId="2" borderId="19" xfId="0" applyFont="1" applyFill="1" applyBorder="1" applyAlignment="1">
      <alignment horizontal="left" vertical="distributed"/>
    </xf>
    <xf numFmtId="0" fontId="2" fillId="2" borderId="19" xfId="0" applyFont="1" applyFill="1" applyBorder="1"/>
    <xf numFmtId="0" fontId="2" fillId="2" borderId="16" xfId="0" applyFont="1" applyFill="1" applyBorder="1" applyAlignment="1">
      <alignment horizontal="center" vertical="distributed" wrapText="1"/>
    </xf>
    <xf numFmtId="0" fontId="2" fillId="2" borderId="0" xfId="0" applyFont="1" applyFill="1" applyAlignment="1">
      <alignment vertical="center" wrapText="1"/>
    </xf>
    <xf numFmtId="0" fontId="7" fillId="0" borderId="0" xfId="0" applyFont="1"/>
    <xf numFmtId="0" fontId="5" fillId="0" borderId="0" xfId="0" applyFont="1"/>
    <xf numFmtId="0" fontId="7" fillId="0" borderId="0" xfId="0" applyFont="1" applyAlignment="1">
      <alignment horizontal="center" vertical="center"/>
    </xf>
    <xf numFmtId="0" fontId="7" fillId="0" borderId="0" xfId="0" applyFont="1" applyAlignment="1">
      <alignment vertical="center"/>
    </xf>
    <xf numFmtId="49" fontId="5" fillId="0" borderId="0" xfId="0" applyNumberFormat="1" applyFont="1" applyAlignment="1">
      <alignment horizontal="center" vertical="center"/>
    </xf>
    <xf numFmtId="1" fontId="5" fillId="0" borderId="0" xfId="0" applyNumberFormat="1" applyFont="1"/>
    <xf numFmtId="49" fontId="5" fillId="0" borderId="0" xfId="0" applyNumberFormat="1" applyFont="1"/>
    <xf numFmtId="2" fontId="5" fillId="0" borderId="0" xfId="0" applyNumberFormat="1" applyFont="1"/>
    <xf numFmtId="3" fontId="7" fillId="0" borderId="0" xfId="0" applyNumberFormat="1" applyFont="1"/>
    <xf numFmtId="164" fontId="3" fillId="0" borderId="0" xfId="0" applyNumberFormat="1" applyFont="1"/>
    <xf numFmtId="0" fontId="5" fillId="0" borderId="0" xfId="0" applyFont="1" applyAlignment="1">
      <alignment horizontal="center"/>
    </xf>
    <xf numFmtId="164" fontId="5" fillId="0" borderId="0" xfId="0" applyNumberFormat="1" applyFont="1"/>
    <xf numFmtId="49" fontId="5" fillId="0" borderId="0" xfId="0" quotePrefix="1" applyNumberFormat="1" applyFont="1" applyAlignment="1">
      <alignment horizontal="center" vertical="center"/>
    </xf>
    <xf numFmtId="165" fontId="5" fillId="0" borderId="0" xfId="0" applyNumberFormat="1" applyFont="1"/>
    <xf numFmtId="0" fontId="7" fillId="0" borderId="19" xfId="0" applyFont="1" applyBorder="1" applyAlignment="1">
      <alignment horizontal="center" vertical="center"/>
    </xf>
    <xf numFmtId="0" fontId="2" fillId="0" borderId="19" xfId="0" applyFont="1" applyBorder="1" applyAlignment="1">
      <alignment horizontal="center" vertical="center"/>
    </xf>
    <xf numFmtId="0" fontId="5" fillId="0" borderId="0" xfId="0" applyFont="1" applyAlignment="1">
      <alignment horizontal="left"/>
    </xf>
    <xf numFmtId="0" fontId="5" fillId="0" borderId="0" xfId="0" applyFont="1" applyAlignment="1">
      <alignment vertical="center"/>
    </xf>
    <xf numFmtId="0" fontId="7" fillId="0" borderId="19" xfId="0" applyFont="1" applyBorder="1" applyAlignment="1">
      <alignment vertical="center"/>
    </xf>
    <xf numFmtId="0" fontId="5" fillId="0" borderId="16" xfId="0" applyFont="1" applyBorder="1" applyAlignment="1">
      <alignment vertical="center"/>
    </xf>
    <xf numFmtId="0" fontId="5" fillId="0" borderId="17" xfId="0" applyFont="1" applyBorder="1" applyAlignment="1">
      <alignment vertical="center"/>
    </xf>
    <xf numFmtId="0" fontId="5" fillId="0" borderId="18" xfId="0" applyFont="1" applyBorder="1"/>
    <xf numFmtId="0" fontId="3" fillId="0" borderId="0" xfId="0" applyFont="1" applyAlignment="1">
      <alignment horizontal="center" vertical="center"/>
    </xf>
    <xf numFmtId="0" fontId="3" fillId="0" borderId="0" xfId="0" applyFont="1" applyAlignment="1">
      <alignment horizontal="left"/>
    </xf>
    <xf numFmtId="0" fontId="2" fillId="0" borderId="0" xfId="0" applyFont="1" applyAlignment="1">
      <alignment horizontal="left"/>
    </xf>
    <xf numFmtId="0" fontId="3" fillId="0" borderId="19" xfId="0" applyFont="1" applyBorder="1" applyAlignment="1">
      <alignment horizontal="center" vertical="center"/>
    </xf>
    <xf numFmtId="0" fontId="3" fillId="0" borderId="0" xfId="0" applyFont="1"/>
    <xf numFmtId="164" fontId="2" fillId="0" borderId="0" xfId="0" applyNumberFormat="1" applyFont="1" applyAlignment="1">
      <alignment vertical="center" wrapText="1"/>
    </xf>
    <xf numFmtId="0" fontId="2" fillId="0" borderId="0" xfId="0" applyFont="1" applyAlignment="1">
      <alignment horizontal="right"/>
    </xf>
    <xf numFmtId="0" fontId="2" fillId="0" borderId="0" xfId="0" applyFont="1" applyAlignment="1">
      <alignment horizontal="left" vertical="center"/>
    </xf>
    <xf numFmtId="0" fontId="3" fillId="0" borderId="5" xfId="0" applyFont="1" applyBorder="1" applyAlignment="1">
      <alignment horizontal="center" vertical="center"/>
    </xf>
    <xf numFmtId="0" fontId="3" fillId="0" borderId="0" xfId="0" applyFont="1" applyAlignment="1">
      <alignment vertical="center" wrapText="1"/>
    </xf>
    <xf numFmtId="0" fontId="2" fillId="0" borderId="12" xfId="0" applyFont="1" applyBorder="1" applyAlignment="1">
      <alignment horizontal="center" vertical="center"/>
    </xf>
    <xf numFmtId="0" fontId="2" fillId="0" borderId="15"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0" xfId="0" applyFont="1" applyBorder="1" applyAlignment="1">
      <alignment horizontal="center" vertical="center"/>
    </xf>
    <xf numFmtId="0" fontId="2" fillId="0" borderId="10"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17" xfId="0" applyFont="1" applyBorder="1" applyAlignment="1">
      <alignment horizontal="center" vertical="center" wrapText="1"/>
    </xf>
    <xf numFmtId="0" fontId="3" fillId="0" borderId="0" xfId="0" applyFont="1" applyAlignment="1">
      <alignment horizontal="left" vertical="center"/>
    </xf>
    <xf numFmtId="0" fontId="2" fillId="0" borderId="0" xfId="0" applyFont="1" applyAlignment="1">
      <alignment vertical="center"/>
    </xf>
    <xf numFmtId="0" fontId="3" fillId="0" borderId="0" xfId="0" applyFont="1" applyAlignment="1">
      <alignment vertical="center"/>
    </xf>
    <xf numFmtId="0" fontId="2" fillId="0" borderId="0" xfId="0" applyFont="1" applyAlignment="1">
      <alignment horizontal="center" vertical="center"/>
    </xf>
    <xf numFmtId="0" fontId="5" fillId="0" borderId="19" xfId="0" applyFont="1" applyBorder="1" applyAlignment="1">
      <alignment horizontal="center" vertical="center"/>
    </xf>
    <xf numFmtId="0" fontId="5" fillId="0" borderId="19" xfId="0" applyFont="1" applyBorder="1" applyAlignment="1">
      <alignment horizontal="center"/>
    </xf>
    <xf numFmtId="164" fontId="5" fillId="0" borderId="16" xfId="0" applyNumberFormat="1" applyFont="1" applyBorder="1" applyAlignment="1">
      <alignment horizontal="center"/>
    </xf>
    <xf numFmtId="1" fontId="5" fillId="0" borderId="0" xfId="0" applyNumberFormat="1" applyFont="1" applyAlignment="1">
      <alignment horizontal="center" vertical="center"/>
    </xf>
    <xf numFmtId="0" fontId="8" fillId="0" borderId="17" xfId="0" applyFont="1" applyBorder="1" applyAlignment="1">
      <alignment horizontal="center" vertical="center"/>
    </xf>
    <xf numFmtId="49" fontId="7" fillId="0" borderId="0" xfId="0" applyNumberFormat="1" applyFont="1" applyAlignment="1">
      <alignment vertical="center"/>
    </xf>
    <xf numFmtId="0" fontId="5" fillId="0" borderId="0" xfId="0" quotePrefix="1" applyFont="1" applyAlignment="1">
      <alignment horizontal="center" vertical="center"/>
    </xf>
    <xf numFmtId="1" fontId="5" fillId="0" borderId="0" xfId="0" applyNumberFormat="1" applyFont="1" applyAlignment="1">
      <alignment vertical="center"/>
    </xf>
    <xf numFmtId="0" fontId="5" fillId="0" borderId="0" xfId="0" applyFont="1" applyAlignment="1">
      <alignment horizontal="left" vertical="center"/>
    </xf>
    <xf numFmtId="164" fontId="5" fillId="0" borderId="0" xfId="0" applyNumberFormat="1" applyFont="1" applyAlignment="1">
      <alignment horizontal="center" vertical="center"/>
    </xf>
    <xf numFmtId="0" fontId="5" fillId="0" borderId="0" xfId="0" applyFont="1" applyAlignment="1">
      <alignment horizontal="center" vertical="center"/>
    </xf>
    <xf numFmtId="0" fontId="5" fillId="0" borderId="0" xfId="0" applyFont="1" applyAlignment="1">
      <alignment horizontal="center" vertical="center" wrapText="1"/>
    </xf>
    <xf numFmtId="0" fontId="2" fillId="0" borderId="0" xfId="0" applyFont="1" applyAlignment="1">
      <alignment horizontal="left" vertical="center" wrapText="1"/>
    </xf>
    <xf numFmtId="0" fontId="2" fillId="0" borderId="0" xfId="0" quotePrefix="1" applyFont="1" applyAlignment="1">
      <alignment horizontal="center" vertical="center"/>
    </xf>
    <xf numFmtId="0" fontId="5" fillId="0" borderId="3" xfId="0" applyFont="1" applyBorder="1" applyAlignment="1">
      <alignment vertical="center"/>
    </xf>
    <xf numFmtId="2" fontId="5" fillId="0" borderId="16" xfId="0" applyNumberFormat="1" applyFont="1" applyBorder="1" applyAlignment="1">
      <alignment horizontal="center"/>
    </xf>
    <xf numFmtId="164" fontId="5" fillId="0" borderId="18" xfId="0" applyNumberFormat="1" applyFont="1" applyBorder="1"/>
    <xf numFmtId="2" fontId="5" fillId="0" borderId="19" xfId="0" applyNumberFormat="1" applyFont="1" applyBorder="1" applyAlignment="1">
      <alignment horizontal="center"/>
    </xf>
    <xf numFmtId="164" fontId="5" fillId="0" borderId="19" xfId="0" applyNumberFormat="1" applyFont="1" applyBorder="1" applyAlignment="1">
      <alignment horizontal="center"/>
    </xf>
    <xf numFmtId="1" fontId="5" fillId="0" borderId="16" xfId="0" applyNumberFormat="1" applyFont="1" applyBorder="1" applyAlignment="1">
      <alignment horizontal="center"/>
    </xf>
    <xf numFmtId="0" fontId="9" fillId="0" borderId="0" xfId="0" applyFont="1" applyAlignment="1">
      <alignment horizontal="right"/>
    </xf>
    <xf numFmtId="0" fontId="5" fillId="0" borderId="19" xfId="0" applyFont="1" applyBorder="1"/>
    <xf numFmtId="0" fontId="9" fillId="0" borderId="0" xfId="0" quotePrefix="1" applyFont="1"/>
    <xf numFmtId="166" fontId="5" fillId="0" borderId="16" xfId="0" applyNumberFormat="1" applyFont="1" applyBorder="1" applyAlignment="1">
      <alignment horizontal="center"/>
    </xf>
    <xf numFmtId="0" fontId="7" fillId="0" borderId="0" xfId="0" applyFont="1" applyAlignment="1">
      <alignment horizontal="center"/>
    </xf>
    <xf numFmtId="167" fontId="7" fillId="0" borderId="0" xfId="0" quotePrefix="1" applyNumberFormat="1" applyFont="1"/>
    <xf numFmtId="0" fontId="5" fillId="0" borderId="0" xfId="0" applyFont="1" applyAlignment="1">
      <alignment horizontal="center" wrapText="1"/>
    </xf>
    <xf numFmtId="0" fontId="7" fillId="0" borderId="0" xfId="0" quotePrefix="1" applyFont="1"/>
    <xf numFmtId="15" fontId="7" fillId="0" borderId="0" xfId="0" quotePrefix="1" applyNumberFormat="1" applyFont="1" applyAlignment="1">
      <alignment horizontal="left"/>
    </xf>
    <xf numFmtId="0" fontId="7" fillId="0" borderId="0" xfId="0" applyFont="1" applyAlignment="1">
      <alignment horizontal="left"/>
    </xf>
    <xf numFmtId="164" fontId="5" fillId="0" borderId="9" xfId="0" applyNumberFormat="1" applyFont="1" applyBorder="1" applyAlignment="1">
      <alignment horizontal="center"/>
    </xf>
    <xf numFmtId="1" fontId="5" fillId="0" borderId="9" xfId="0" applyNumberFormat="1" applyFont="1" applyBorder="1" applyAlignment="1">
      <alignment horizontal="center"/>
    </xf>
    <xf numFmtId="164" fontId="5" fillId="0" borderId="19" xfId="0" applyNumberFormat="1" applyFont="1" applyBorder="1"/>
    <xf numFmtId="1" fontId="5" fillId="0" borderId="19" xfId="0" applyNumberFormat="1" applyFont="1" applyBorder="1" applyAlignment="1">
      <alignment horizontal="center"/>
    </xf>
    <xf numFmtId="2" fontId="5" fillId="0" borderId="0" xfId="0" applyNumberFormat="1" applyFont="1" applyAlignment="1">
      <alignment horizontal="center"/>
    </xf>
    <xf numFmtId="164" fontId="5" fillId="0" borderId="12" xfId="0" applyNumberFormat="1" applyFont="1" applyBorder="1"/>
    <xf numFmtId="164" fontId="5" fillId="0" borderId="12" xfId="0" applyNumberFormat="1" applyFont="1" applyBorder="1" applyAlignment="1">
      <alignment horizontal="center"/>
    </xf>
    <xf numFmtId="164" fontId="5" fillId="0" borderId="0" xfId="0" applyNumberFormat="1" applyFont="1" applyAlignment="1">
      <alignment horizontal="center"/>
    </xf>
    <xf numFmtId="2" fontId="5" fillId="0" borderId="0" xfId="0" applyNumberFormat="1" applyFont="1" applyAlignment="1">
      <alignment horizontal="center" vertical="center"/>
    </xf>
    <xf numFmtId="164" fontId="5" fillId="0" borderId="11" xfId="0" applyNumberFormat="1" applyFont="1" applyBorder="1"/>
    <xf numFmtId="1" fontId="5" fillId="0" borderId="12" xfId="0" applyNumberFormat="1" applyFont="1" applyBorder="1" applyAlignment="1">
      <alignment horizontal="center"/>
    </xf>
    <xf numFmtId="0" fontId="5" fillId="0" borderId="12" xfId="0" applyFont="1" applyBorder="1"/>
    <xf numFmtId="0" fontId="2" fillId="2" borderId="17" xfId="0" applyFont="1" applyFill="1" applyBorder="1" applyAlignment="1">
      <alignment horizontal="center" vertical="top"/>
    </xf>
    <xf numFmtId="0" fontId="2" fillId="2" borderId="18" xfId="0" applyFont="1" applyFill="1" applyBorder="1" applyAlignment="1">
      <alignment horizontal="center" vertical="top"/>
    </xf>
    <xf numFmtId="0" fontId="2" fillId="2" borderId="18" xfId="0" applyFont="1" applyFill="1" applyBorder="1" applyAlignment="1">
      <alignment horizontal="center" vertical="distributed" wrapText="1"/>
    </xf>
    <xf numFmtId="0" fontId="2" fillId="2" borderId="19" xfId="0" applyFont="1" applyFill="1" applyBorder="1" applyAlignment="1">
      <alignment horizontal="center" vertical="top"/>
    </xf>
    <xf numFmtId="0" fontId="2" fillId="2" borderId="0" xfId="0" applyFont="1" applyFill="1" applyAlignment="1">
      <alignment vertical="top"/>
    </xf>
    <xf numFmtId="0" fontId="2" fillId="2" borderId="24" xfId="0" applyFont="1" applyFill="1" applyBorder="1" applyAlignment="1">
      <alignment vertical="top"/>
    </xf>
    <xf numFmtId="0" fontId="2" fillId="2" borderId="12" xfId="0" applyFont="1" applyFill="1" applyBorder="1" applyAlignment="1">
      <alignment vertical="top"/>
    </xf>
    <xf numFmtId="166" fontId="5" fillId="0" borderId="19" xfId="0" applyNumberFormat="1" applyFont="1" applyBorder="1" applyAlignment="1">
      <alignment vertical="center"/>
    </xf>
    <xf numFmtId="2" fontId="5" fillId="0" borderId="16" xfId="0" applyNumberFormat="1" applyFont="1" applyBorder="1"/>
    <xf numFmtId="2" fontId="5" fillId="0" borderId="19" xfId="0" applyNumberFormat="1" applyFont="1" applyBorder="1" applyAlignment="1">
      <alignment vertical="center"/>
    </xf>
    <xf numFmtId="164" fontId="5" fillId="0" borderId="19" xfId="0" applyNumberFormat="1" applyFont="1" applyBorder="1" applyAlignment="1">
      <alignment vertical="center"/>
    </xf>
    <xf numFmtId="1" fontId="5" fillId="0" borderId="16" xfId="0" applyNumberFormat="1" applyFont="1" applyBorder="1"/>
    <xf numFmtId="1" fontId="5" fillId="0" borderId="18" xfId="0" applyNumberFormat="1" applyFont="1" applyBorder="1"/>
    <xf numFmtId="0" fontId="5" fillId="0" borderId="16" xfId="0" applyFont="1" applyBorder="1"/>
    <xf numFmtId="164" fontId="5" fillId="0" borderId="16" xfId="0" applyNumberFormat="1" applyFont="1" applyBorder="1"/>
    <xf numFmtId="0" fontId="2" fillId="2" borderId="19" xfId="0" applyFont="1" applyFill="1" applyBorder="1" applyAlignment="1">
      <alignment horizontal="center" vertical="center"/>
    </xf>
    <xf numFmtId="1" fontId="5" fillId="0" borderId="0" xfId="0" applyNumberFormat="1" applyFont="1" applyAlignment="1">
      <alignment horizontal="left"/>
    </xf>
    <xf numFmtId="0" fontId="2" fillId="2" borderId="0" xfId="0" quotePrefix="1" applyFont="1" applyFill="1" applyAlignment="1">
      <alignment horizontal="left" vertical="center"/>
    </xf>
    <xf numFmtId="49" fontId="3" fillId="2" borderId="19" xfId="0" applyNumberFormat="1" applyFont="1" applyFill="1" applyBorder="1" applyAlignment="1">
      <alignment vertical="center"/>
    </xf>
    <xf numFmtId="0" fontId="3" fillId="2" borderId="17" xfId="0" applyFont="1" applyFill="1" applyBorder="1" applyAlignment="1">
      <alignment vertical="center"/>
    </xf>
    <xf numFmtId="0" fontId="3" fillId="2" borderId="18" xfId="0" applyFont="1" applyFill="1" applyBorder="1" applyAlignment="1">
      <alignment vertical="center"/>
    </xf>
    <xf numFmtId="0" fontId="3" fillId="2" borderId="16" xfId="0" applyFont="1" applyFill="1" applyBorder="1" applyAlignment="1">
      <alignment vertical="center"/>
    </xf>
    <xf numFmtId="0" fontId="2" fillId="2" borderId="17" xfId="0" quotePrefix="1" applyFont="1" applyFill="1" applyBorder="1" applyAlignment="1">
      <alignment vertical="center"/>
    </xf>
    <xf numFmtId="0" fontId="2" fillId="2" borderId="18" xfId="0" quotePrefix="1" applyFont="1" applyFill="1" applyBorder="1" applyAlignment="1">
      <alignment vertical="center"/>
    </xf>
    <xf numFmtId="0" fontId="3" fillId="2" borderId="5" xfId="0" applyFont="1" applyFill="1" applyBorder="1" applyAlignment="1">
      <alignment horizontal="center" vertical="center"/>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2" fillId="0" borderId="18" xfId="0" applyFont="1" applyBorder="1" applyAlignment="1">
      <alignment vertical="center" wrapText="1"/>
    </xf>
    <xf numFmtId="0" fontId="2" fillId="2" borderId="17" xfId="0" quotePrefix="1" applyFont="1" applyFill="1" applyBorder="1" applyAlignment="1">
      <alignment horizontal="center" vertical="center"/>
    </xf>
    <xf numFmtId="0" fontId="7" fillId="2" borderId="0" xfId="0" applyFont="1" applyFill="1" applyAlignment="1">
      <alignment horizontal="center" vertical="center"/>
    </xf>
    <xf numFmtId="0" fontId="7" fillId="2" borderId="0" xfId="0" applyFont="1" applyFill="1" applyAlignment="1">
      <alignment horizontal="left" vertical="center"/>
    </xf>
    <xf numFmtId="0" fontId="5" fillId="2" borderId="0" xfId="0" applyFont="1" applyFill="1" applyAlignment="1">
      <alignment vertical="center"/>
    </xf>
    <xf numFmtId="0" fontId="7" fillId="2" borderId="0" xfId="0" applyFont="1" applyFill="1" applyAlignment="1">
      <alignment vertical="center"/>
    </xf>
    <xf numFmtId="0" fontId="5" fillId="2" borderId="16" xfId="0" applyFont="1" applyFill="1" applyBorder="1" applyAlignment="1">
      <alignment vertical="center"/>
    </xf>
    <xf numFmtId="164" fontId="5" fillId="2" borderId="16" xfId="0" applyNumberFormat="1" applyFont="1" applyFill="1" applyBorder="1" applyAlignment="1">
      <alignment vertical="center"/>
    </xf>
    <xf numFmtId="164" fontId="5" fillId="2" borderId="17" xfId="0" applyNumberFormat="1" applyFont="1" applyFill="1" applyBorder="1" applyAlignment="1">
      <alignment vertical="center"/>
    </xf>
    <xf numFmtId="2" fontId="5" fillId="2" borderId="17" xfId="0" applyNumberFormat="1" applyFont="1" applyFill="1" applyBorder="1" applyAlignment="1">
      <alignment vertical="center"/>
    </xf>
    <xf numFmtId="164" fontId="5" fillId="2" borderId="18" xfId="0" applyNumberFormat="1" applyFont="1" applyFill="1" applyBorder="1" applyAlignment="1">
      <alignment vertical="center"/>
    </xf>
    <xf numFmtId="1" fontId="5" fillId="2" borderId="17" xfId="0" applyNumberFormat="1" applyFont="1" applyFill="1" applyBorder="1" applyAlignment="1">
      <alignment vertical="center"/>
    </xf>
    <xf numFmtId="0" fontId="5" fillId="2" borderId="17" xfId="0" applyFont="1" applyFill="1" applyBorder="1" applyAlignment="1">
      <alignment vertical="center"/>
    </xf>
    <xf numFmtId="0" fontId="5" fillId="2" borderId="18" xfId="0" applyFont="1" applyFill="1" applyBorder="1" applyAlignment="1">
      <alignment vertical="center"/>
    </xf>
    <xf numFmtId="0" fontId="2" fillId="0" borderId="0" xfId="0" quotePrefix="1" applyFont="1" applyAlignment="1">
      <alignment horizontal="center" vertical="top"/>
    </xf>
    <xf numFmtId="49" fontId="5" fillId="2" borderId="0" xfId="0" applyNumberFormat="1" applyFont="1" applyFill="1" applyAlignment="1">
      <alignment vertical="center"/>
    </xf>
    <xf numFmtId="0" fontId="5" fillId="2" borderId="0" xfId="0" applyFont="1" applyFill="1" applyAlignment="1">
      <alignment horizontal="left" vertical="center"/>
    </xf>
    <xf numFmtId="49" fontId="7" fillId="2" borderId="0" xfId="0" applyNumberFormat="1" applyFont="1" applyFill="1" applyAlignment="1">
      <alignment vertical="center"/>
    </xf>
    <xf numFmtId="0" fontId="2" fillId="7" borderId="17" xfId="0" quotePrefix="1" applyFont="1" applyFill="1" applyBorder="1" applyAlignment="1">
      <alignment vertical="center"/>
    </xf>
    <xf numFmtId="0" fontId="7" fillId="0" borderId="18" xfId="0" applyFont="1" applyBorder="1" applyAlignment="1">
      <alignment vertical="center"/>
    </xf>
    <xf numFmtId="49" fontId="3" fillId="0" borderId="0" xfId="2" applyNumberFormat="1" applyFont="1" applyAlignment="1">
      <alignment vertical="center"/>
    </xf>
    <xf numFmtId="49" fontId="2" fillId="0" borderId="0" xfId="2" applyNumberFormat="1" applyFont="1" applyAlignment="1">
      <alignment vertical="center"/>
    </xf>
    <xf numFmtId="0" fontId="2" fillId="0" borderId="3" xfId="0" applyFont="1" applyBorder="1" applyAlignment="1">
      <alignment vertical="center"/>
    </xf>
    <xf numFmtId="0" fontId="7" fillId="7" borderId="19" xfId="0" applyFont="1" applyFill="1" applyBorder="1" applyAlignment="1">
      <alignment horizontal="center" vertical="center" wrapText="1"/>
    </xf>
    <xf numFmtId="0" fontId="7" fillId="7" borderId="19" xfId="0" applyFont="1" applyFill="1" applyBorder="1" applyAlignment="1">
      <alignment horizontal="center" vertical="center"/>
    </xf>
    <xf numFmtId="0" fontId="2" fillId="0" borderId="2" xfId="0" applyFont="1" applyBorder="1" applyAlignment="1">
      <alignment horizontal="center" vertical="center" wrapText="1"/>
    </xf>
    <xf numFmtId="0" fontId="2" fillId="0" borderId="23" xfId="0" applyFont="1" applyBorder="1" applyAlignment="1">
      <alignment horizontal="center" vertical="center" wrapText="1"/>
    </xf>
    <xf numFmtId="0" fontId="3" fillId="2" borderId="17" xfId="0" applyFont="1" applyFill="1" applyBorder="1" applyAlignment="1">
      <alignment horizontal="center" vertical="center"/>
    </xf>
    <xf numFmtId="0" fontId="3" fillId="2" borderId="18" xfId="0" applyFont="1" applyFill="1" applyBorder="1" applyAlignment="1">
      <alignment horizontal="center" vertical="center"/>
    </xf>
    <xf numFmtId="0" fontId="2" fillId="2" borderId="25" xfId="0" applyFont="1" applyFill="1" applyBorder="1" applyAlignment="1">
      <alignment horizontal="center" vertical="center"/>
    </xf>
    <xf numFmtId="0" fontId="2" fillId="0" borderId="9" xfId="0" applyFont="1" applyBorder="1" applyAlignment="1">
      <alignment horizontal="center" vertical="center" wrapText="1"/>
    </xf>
    <xf numFmtId="0" fontId="2" fillId="0" borderId="0" xfId="0" applyFont="1" applyAlignment="1">
      <alignment horizontal="center" vertical="center" wrapText="1"/>
    </xf>
    <xf numFmtId="1" fontId="3" fillId="0" borderId="0" xfId="0" applyNumberFormat="1" applyFont="1" applyAlignment="1">
      <alignment vertical="center"/>
    </xf>
    <xf numFmtId="0" fontId="3" fillId="0" borderId="19" xfId="0" applyFont="1" applyBorder="1" applyAlignment="1">
      <alignment vertical="center"/>
    </xf>
    <xf numFmtId="0" fontId="2" fillId="0" borderId="19" xfId="0" applyFont="1" applyBorder="1" applyAlignment="1">
      <alignment vertical="center"/>
    </xf>
    <xf numFmtId="0" fontId="2" fillId="0" borderId="18" xfId="0" applyFont="1" applyBorder="1" applyAlignment="1">
      <alignment vertical="center"/>
    </xf>
    <xf numFmtId="0" fontId="3" fillId="0" borderId="12" xfId="0" applyFont="1" applyBorder="1" applyAlignment="1">
      <alignment vertical="center"/>
    </xf>
    <xf numFmtId="0" fontId="2" fillId="2" borderId="10" xfId="0" applyFont="1" applyFill="1" applyBorder="1" applyAlignment="1">
      <alignment vertical="center"/>
    </xf>
    <xf numFmtId="0" fontId="3" fillId="2" borderId="10" xfId="0" applyFont="1" applyFill="1" applyBorder="1" applyAlignment="1">
      <alignment vertical="center"/>
    </xf>
    <xf numFmtId="0" fontId="3" fillId="2" borderId="21" xfId="0" applyFont="1" applyFill="1" applyBorder="1" applyAlignment="1">
      <alignment horizontal="center" vertical="center"/>
    </xf>
    <xf numFmtId="0" fontId="2" fillId="2" borderId="19" xfId="0" applyFont="1" applyFill="1" applyBorder="1" applyAlignment="1">
      <alignment horizontal="center" vertical="distributed"/>
    </xf>
    <xf numFmtId="0" fontId="2" fillId="2" borderId="19" xfId="0" applyFont="1" applyFill="1" applyBorder="1" applyAlignment="1">
      <alignment horizontal="center"/>
    </xf>
    <xf numFmtId="0" fontId="2" fillId="3" borderId="0" xfId="0" applyFont="1" applyFill="1" applyAlignment="1">
      <alignment vertical="center"/>
    </xf>
    <xf numFmtId="1" fontId="3" fillId="2" borderId="0" xfId="0" applyNumberFormat="1" applyFont="1" applyFill="1" applyAlignment="1">
      <alignment vertical="center"/>
    </xf>
    <xf numFmtId="0" fontId="2" fillId="2" borderId="0" xfId="0" applyFont="1" applyFill="1" applyAlignment="1">
      <alignment horizontal="center"/>
    </xf>
    <xf numFmtId="0" fontId="2" fillId="2" borderId="18" xfId="0" applyFont="1" applyFill="1" applyBorder="1" applyAlignment="1">
      <alignment horizontal="center"/>
    </xf>
    <xf numFmtId="0" fontId="2" fillId="0" borderId="0" xfId="0" applyFont="1"/>
    <xf numFmtId="0" fontId="2" fillId="0" borderId="0" xfId="0" applyFont="1" applyAlignment="1">
      <alignment horizontal="center"/>
    </xf>
    <xf numFmtId="0" fontId="2" fillId="2" borderId="23" xfId="0" applyFont="1" applyFill="1" applyBorder="1" applyAlignment="1">
      <alignment horizontal="left" vertical="distributed" wrapText="1"/>
    </xf>
    <xf numFmtId="0" fontId="2" fillId="2" borderId="25" xfId="0" applyFont="1" applyFill="1" applyBorder="1" applyAlignment="1">
      <alignment horizontal="center" wrapText="1"/>
    </xf>
    <xf numFmtId="0" fontId="2" fillId="2" borderId="25" xfId="0" applyFont="1" applyFill="1" applyBorder="1" applyAlignment="1">
      <alignment horizontal="left" wrapText="1"/>
    </xf>
    <xf numFmtId="0" fontId="2" fillId="2" borderId="11" xfId="0" applyFont="1" applyFill="1" applyBorder="1" applyAlignment="1">
      <alignment horizontal="center" vertical="top"/>
    </xf>
    <xf numFmtId="0" fontId="2" fillId="2" borderId="0" xfId="0" applyFont="1" applyFill="1" applyAlignment="1">
      <alignment horizontal="center" vertical="top"/>
    </xf>
    <xf numFmtId="0" fontId="2" fillId="2" borderId="20" xfId="0" applyFont="1" applyFill="1" applyBorder="1" applyAlignment="1">
      <alignment horizontal="center" vertical="center"/>
    </xf>
    <xf numFmtId="0" fontId="2" fillId="2" borderId="0" xfId="0" applyFont="1" applyFill="1" applyAlignment="1">
      <alignment horizontal="center" vertical="distributed"/>
    </xf>
    <xf numFmtId="0" fontId="2" fillId="0" borderId="0" xfId="0" applyFont="1" applyAlignment="1">
      <alignment horizontal="center" vertical="distributed"/>
    </xf>
    <xf numFmtId="0" fontId="2" fillId="7" borderId="23" xfId="0" applyFont="1" applyFill="1" applyBorder="1" applyAlignment="1">
      <alignment horizontal="center" vertical="center" wrapText="1"/>
    </xf>
    <xf numFmtId="0" fontId="2" fillId="7" borderId="18" xfId="0" applyFont="1" applyFill="1" applyBorder="1" applyAlignment="1">
      <alignment vertical="center"/>
    </xf>
    <xf numFmtId="0" fontId="2" fillId="7" borderId="18" xfId="0" applyFont="1" applyFill="1" applyBorder="1" applyAlignment="1">
      <alignment vertical="center" wrapText="1"/>
    </xf>
    <xf numFmtId="0" fontId="7" fillId="0" borderId="17" xfId="0" applyFont="1" applyBorder="1" applyAlignment="1">
      <alignment horizontal="center" vertical="center" wrapText="1"/>
    </xf>
    <xf numFmtId="0" fontId="3" fillId="2" borderId="0" xfId="0" quotePrefix="1" applyFont="1" applyFill="1" applyAlignment="1">
      <alignment horizontal="center" vertical="center"/>
    </xf>
    <xf numFmtId="49" fontId="2" fillId="2" borderId="0" xfId="2" applyNumberFormat="1" applyFont="1" applyFill="1" applyAlignment="1">
      <alignment horizontal="left" vertical="center"/>
    </xf>
    <xf numFmtId="0" fontId="3" fillId="0" borderId="2" xfId="0" applyFont="1" applyBorder="1" applyAlignment="1">
      <alignment horizontal="center" vertical="center"/>
    </xf>
    <xf numFmtId="0" fontId="3" fillId="0" borderId="2" xfId="0" applyFont="1" applyBorder="1" applyAlignment="1">
      <alignment vertical="center"/>
    </xf>
    <xf numFmtId="49" fontId="3" fillId="0" borderId="0" xfId="0" applyNumberFormat="1" applyFont="1" applyAlignment="1">
      <alignment horizontal="left" vertical="center"/>
    </xf>
    <xf numFmtId="0" fontId="3" fillId="0" borderId="10" xfId="0" applyFont="1" applyBorder="1" applyAlignment="1">
      <alignment vertical="center"/>
    </xf>
    <xf numFmtId="0" fontId="3" fillId="0" borderId="12" xfId="0" applyFont="1" applyBorder="1" applyAlignment="1">
      <alignment horizontal="center" vertical="center"/>
    </xf>
    <xf numFmtId="0" fontId="3" fillId="0" borderId="12" xfId="3" applyNumberFormat="1" applyFont="1" applyBorder="1" applyAlignment="1">
      <alignment horizontal="center" vertical="center"/>
    </xf>
    <xf numFmtId="0" fontId="3" fillId="0" borderId="0" xfId="3" applyNumberFormat="1" applyFont="1" applyBorder="1" applyAlignment="1">
      <alignment horizontal="center" vertical="center"/>
    </xf>
    <xf numFmtId="2" fontId="5" fillId="0" borderId="0" xfId="0" applyNumberFormat="1" applyFont="1" applyAlignment="1">
      <alignment horizontal="center" vertical="center" wrapText="1"/>
    </xf>
    <xf numFmtId="2" fontId="2" fillId="0" borderId="0" xfId="0" applyNumberFormat="1" applyFont="1" applyAlignment="1">
      <alignment horizontal="center" vertical="center"/>
    </xf>
    <xf numFmtId="164" fontId="5" fillId="0" borderId="0" xfId="1" applyNumberFormat="1" applyFont="1" applyBorder="1" applyAlignment="1">
      <alignment horizontal="center" vertical="center"/>
    </xf>
    <xf numFmtId="9" fontId="5" fillId="0" borderId="0" xfId="0" applyNumberFormat="1" applyFont="1" applyAlignment="1">
      <alignment horizontal="center" vertical="center"/>
    </xf>
    <xf numFmtId="0" fontId="3" fillId="0" borderId="0" xfId="3" applyNumberFormat="1" applyFont="1" applyBorder="1" applyAlignment="1">
      <alignment horizontal="left" vertical="center"/>
    </xf>
    <xf numFmtId="0" fontId="17" fillId="0" borderId="2" xfId="0" applyFont="1" applyBorder="1"/>
    <xf numFmtId="0" fontId="18" fillId="0" borderId="2" xfId="0" applyFont="1" applyBorder="1"/>
    <xf numFmtId="0" fontId="18" fillId="0" borderId="0" xfId="0" applyFont="1"/>
    <xf numFmtId="0" fontId="2" fillId="0" borderId="0" xfId="4" applyFont="1" applyAlignment="1" applyProtection="1"/>
    <xf numFmtId="0" fontId="2" fillId="0" borderId="0" xfId="4" applyFont="1" applyAlignment="1" applyProtection="1">
      <alignment horizontal="left"/>
    </xf>
    <xf numFmtId="0" fontId="2" fillId="0" borderId="0" xfId="4" applyNumberFormat="1" applyFont="1" applyAlignment="1" applyProtection="1"/>
    <xf numFmtId="0" fontId="7" fillId="3" borderId="19" xfId="0" applyFont="1" applyFill="1" applyBorder="1" applyAlignment="1">
      <alignment horizontal="center" vertical="center" wrapText="1"/>
    </xf>
    <xf numFmtId="0" fontId="14" fillId="0" borderId="0" xfId="0" applyFont="1"/>
    <xf numFmtId="166" fontId="5" fillId="0" borderId="19" xfId="0" applyNumberFormat="1" applyFont="1" applyBorder="1" applyAlignment="1">
      <alignment horizontal="center"/>
    </xf>
    <xf numFmtId="0" fontId="7" fillId="0" borderId="0" xfId="0" applyFont="1" applyAlignment="1">
      <alignment horizontal="center" vertical="center" wrapText="1"/>
    </xf>
    <xf numFmtId="0" fontId="7" fillId="0" borderId="0" xfId="0" applyFont="1" applyAlignment="1">
      <alignment vertical="center" wrapText="1"/>
    </xf>
    <xf numFmtId="0" fontId="0" fillId="0" borderId="0" xfId="0" applyAlignment="1">
      <alignment horizontal="center" vertical="center"/>
    </xf>
    <xf numFmtId="168" fontId="0" fillId="0" borderId="0" xfId="0" applyNumberFormat="1"/>
    <xf numFmtId="169" fontId="0" fillId="0" borderId="0" xfId="0" applyNumberFormat="1"/>
    <xf numFmtId="166" fontId="5" fillId="0" borderId="0" xfId="0" applyNumberFormat="1" applyFont="1" applyAlignment="1">
      <alignment horizontal="center"/>
    </xf>
    <xf numFmtId="170" fontId="5" fillId="0" borderId="0" xfId="0" applyNumberFormat="1" applyFont="1" applyAlignment="1">
      <alignment horizontal="center"/>
    </xf>
    <xf numFmtId="171" fontId="5" fillId="0" borderId="0" xfId="0" applyNumberFormat="1" applyFont="1" applyAlignment="1">
      <alignment vertical="center"/>
    </xf>
    <xf numFmtId="171" fontId="5" fillId="0" borderId="0" xfId="0" applyNumberFormat="1" applyFont="1" applyAlignment="1">
      <alignment horizontal="center"/>
    </xf>
    <xf numFmtId="1" fontId="5" fillId="0" borderId="0" xfId="0" applyNumberFormat="1" applyFont="1" applyAlignment="1">
      <alignment horizontal="center"/>
    </xf>
    <xf numFmtId="0" fontId="24" fillId="0" borderId="0" xfId="0" applyFont="1"/>
    <xf numFmtId="0" fontId="24" fillId="0" borderId="2" xfId="0" applyFont="1" applyBorder="1" applyAlignment="1">
      <alignment horizontal="center"/>
    </xf>
    <xf numFmtId="0" fontId="24" fillId="0" borderId="0" xfId="0" applyFont="1" applyAlignment="1">
      <alignment horizontal="center"/>
    </xf>
    <xf numFmtId="0" fontId="24" fillId="0" borderId="23" xfId="0" applyFont="1" applyBorder="1" applyAlignment="1">
      <alignment horizontal="center"/>
    </xf>
    <xf numFmtId="0" fontId="0" fillId="0" borderId="2" xfId="0" applyBorder="1"/>
    <xf numFmtId="0" fontId="25" fillId="0" borderId="0" xfId="0" applyFont="1" applyAlignment="1">
      <alignment horizontal="left" vertical="center"/>
    </xf>
    <xf numFmtId="0" fontId="25" fillId="0" borderId="0" xfId="0" applyFont="1"/>
    <xf numFmtId="0" fontId="25" fillId="0" borderId="0" xfId="0" applyFont="1" applyAlignment="1">
      <alignment horizontal="center" vertical="center"/>
    </xf>
    <xf numFmtId="164" fontId="25" fillId="0" borderId="0" xfId="0" applyNumberFormat="1" applyFont="1" applyAlignment="1">
      <alignment horizontal="center" vertical="center" wrapText="1"/>
    </xf>
    <xf numFmtId="164" fontId="8" fillId="0" borderId="0" xfId="0" applyNumberFormat="1" applyFont="1" applyAlignment="1">
      <alignment horizontal="center" vertical="center" wrapText="1"/>
    </xf>
    <xf numFmtId="166" fontId="8" fillId="0" borderId="0" xfId="0" applyNumberFormat="1" applyFont="1" applyAlignment="1">
      <alignment horizontal="center" vertical="center" wrapText="1"/>
    </xf>
    <xf numFmtId="171" fontId="8" fillId="0" borderId="0" xfId="0" applyNumberFormat="1" applyFont="1" applyAlignment="1">
      <alignment horizontal="center" vertical="center" wrapText="1"/>
    </xf>
    <xf numFmtId="166" fontId="0" fillId="0" borderId="23" xfId="0" applyNumberFormat="1" applyBorder="1" applyAlignment="1">
      <alignment horizontal="center"/>
    </xf>
    <xf numFmtId="9" fontId="0" fillId="0" borderId="0" xfId="0" applyNumberFormat="1" applyAlignment="1">
      <alignment horizontal="center"/>
    </xf>
    <xf numFmtId="0" fontId="0" fillId="0" borderId="0" xfId="0" applyAlignment="1">
      <alignment horizontal="center"/>
    </xf>
    <xf numFmtId="164" fontId="26" fillId="0" borderId="0" xfId="0" applyNumberFormat="1" applyFont="1" applyAlignment="1">
      <alignment horizontal="center" vertical="center" wrapText="1"/>
    </xf>
    <xf numFmtId="2" fontId="0" fillId="0" borderId="0" xfId="0" applyNumberFormat="1" applyAlignment="1">
      <alignment horizontal="center" vertical="center" wrapText="1"/>
    </xf>
    <xf numFmtId="0" fontId="25" fillId="0" borderId="0" xfId="0" applyFont="1" applyAlignment="1">
      <alignment horizontal="center"/>
    </xf>
    <xf numFmtId="0" fontId="6" fillId="0" borderId="16" xfId="0" applyFont="1" applyBorder="1" applyAlignment="1">
      <alignment horizontal="center"/>
    </xf>
    <xf numFmtId="0" fontId="8" fillId="0" borderId="0" xfId="0" applyFont="1"/>
    <xf numFmtId="0" fontId="0" fillId="0" borderId="23" xfId="0" applyBorder="1"/>
    <xf numFmtId="0" fontId="14" fillId="0" borderId="2" xfId="0" applyFont="1" applyBorder="1" applyAlignment="1">
      <alignment horizontal="center" vertical="center"/>
    </xf>
    <xf numFmtId="1" fontId="25" fillId="0" borderId="0" xfId="0" applyNumberFormat="1" applyFont="1"/>
    <xf numFmtId="0" fontId="25" fillId="11" borderId="16" xfId="0" applyFont="1" applyFill="1" applyBorder="1" applyAlignment="1">
      <alignment horizontal="center" vertical="center"/>
    </xf>
    <xf numFmtId="0" fontId="0" fillId="0" borderId="24" xfId="0" applyBorder="1"/>
    <xf numFmtId="0" fontId="0" fillId="0" borderId="0" xfId="0" applyAlignment="1">
      <alignment wrapText="1"/>
    </xf>
    <xf numFmtId="0" fontId="8" fillId="0" borderId="16" xfId="0" applyFont="1" applyBorder="1"/>
    <xf numFmtId="2" fontId="8" fillId="0" borderId="16" xfId="0" applyNumberFormat="1" applyFont="1" applyBorder="1"/>
    <xf numFmtId="0" fontId="8" fillId="0" borderId="16" xfId="0" applyFont="1" applyBorder="1" applyAlignment="1">
      <alignment horizontal="center"/>
    </xf>
    <xf numFmtId="2" fontId="8" fillId="0" borderId="19" xfId="0" applyNumberFormat="1" applyFont="1" applyBorder="1"/>
    <xf numFmtId="2" fontId="8" fillId="0" borderId="23" xfId="0" applyNumberFormat="1" applyFont="1" applyBorder="1"/>
    <xf numFmtId="0" fontId="14" fillId="0" borderId="0" xfId="0" applyFont="1" applyAlignment="1">
      <alignment wrapText="1"/>
    </xf>
    <xf numFmtId="1" fontId="8" fillId="0" borderId="16" xfId="0" applyNumberFormat="1" applyFont="1" applyBorder="1" applyAlignment="1">
      <alignment horizontal="center"/>
    </xf>
    <xf numFmtId="0" fontId="8" fillId="0" borderId="17" xfId="0" applyFont="1" applyBorder="1"/>
    <xf numFmtId="0" fontId="8" fillId="0" borderId="17" xfId="0" applyFont="1" applyBorder="1" applyAlignment="1">
      <alignment horizontal="center"/>
    </xf>
    <xf numFmtId="2" fontId="8" fillId="0" borderId="17" xfId="0" applyNumberFormat="1" applyFont="1" applyBorder="1"/>
    <xf numFmtId="0" fontId="8" fillId="0" borderId="0" xfId="0" applyFont="1" applyAlignment="1">
      <alignment horizontal="center"/>
    </xf>
    <xf numFmtId="2" fontId="2" fillId="0" borderId="0" xfId="0" applyNumberFormat="1" applyFont="1" applyAlignment="1">
      <alignment horizontal="left" vertical="center"/>
    </xf>
    <xf numFmtId="1" fontId="2" fillId="0" borderId="0" xfId="0" applyNumberFormat="1" applyFont="1" applyAlignment="1">
      <alignment horizontal="center" vertical="center"/>
    </xf>
    <xf numFmtId="49" fontId="7" fillId="0" borderId="0" xfId="0" applyNumberFormat="1" applyFont="1" applyAlignment="1">
      <alignment horizontal="left"/>
    </xf>
    <xf numFmtId="0" fontId="7" fillId="0" borderId="0" xfId="0" applyFont="1" applyAlignment="1">
      <alignment horizontal="right"/>
    </xf>
    <xf numFmtId="2" fontId="7" fillId="0" borderId="17" xfId="0" applyNumberFormat="1" applyFont="1" applyBorder="1" applyAlignment="1">
      <alignment vertical="center" wrapText="1"/>
    </xf>
    <xf numFmtId="2" fontId="7" fillId="0" borderId="0" xfId="0" applyNumberFormat="1" applyFont="1" applyAlignment="1">
      <alignment horizontal="center" vertical="center" wrapText="1"/>
    </xf>
    <xf numFmtId="0" fontId="7" fillId="0" borderId="0" xfId="0" applyFont="1" applyAlignment="1">
      <alignment horizontal="left" vertical="center"/>
    </xf>
    <xf numFmtId="0" fontId="2" fillId="0" borderId="0" xfId="4" quotePrefix="1" applyNumberFormat="1" applyFont="1" applyAlignment="1" applyProtection="1"/>
    <xf numFmtId="2" fontId="8" fillId="8" borderId="16" xfId="0" applyNumberFormat="1" applyFont="1" applyFill="1" applyBorder="1"/>
    <xf numFmtId="2" fontId="5" fillId="0" borderId="0" xfId="0" applyNumberFormat="1" applyFont="1" applyAlignment="1">
      <alignment vertical="center"/>
    </xf>
    <xf numFmtId="0" fontId="7" fillId="7" borderId="25" xfId="0" applyFont="1" applyFill="1" applyBorder="1" applyAlignment="1">
      <alignment horizontal="center" vertical="center" wrapText="1"/>
    </xf>
    <xf numFmtId="0" fontId="7" fillId="7" borderId="19" xfId="0" applyFont="1" applyFill="1" applyBorder="1"/>
    <xf numFmtId="166" fontId="5" fillId="0" borderId="19" xfId="0" applyNumberFormat="1" applyFont="1" applyBorder="1" applyAlignment="1">
      <alignment horizontal="center" vertical="center"/>
    </xf>
    <xf numFmtId="164" fontId="5" fillId="0" borderId="19" xfId="0" applyNumberFormat="1" applyFont="1" applyBorder="1" applyAlignment="1">
      <alignment horizontal="center" vertical="center"/>
    </xf>
    <xf numFmtId="2" fontId="5" fillId="0" borderId="19" xfId="0" applyNumberFormat="1" applyFont="1" applyBorder="1" applyAlignment="1">
      <alignment horizontal="center" vertical="center"/>
    </xf>
    <xf numFmtId="0" fontId="2" fillId="2" borderId="17" xfId="0" applyFont="1" applyFill="1" applyBorder="1" applyAlignment="1">
      <alignment horizontal="center" vertical="center"/>
    </xf>
    <xf numFmtId="0" fontId="2" fillId="2" borderId="16" xfId="0" applyFont="1" applyFill="1" applyBorder="1" applyAlignment="1">
      <alignment vertical="center"/>
    </xf>
    <xf numFmtId="0" fontId="2" fillId="2" borderId="18" xfId="0" applyFont="1" applyFill="1" applyBorder="1" applyAlignment="1">
      <alignment vertical="center"/>
    </xf>
    <xf numFmtId="0" fontId="2" fillId="2" borderId="12" xfId="0" applyFont="1" applyFill="1" applyBorder="1" applyAlignment="1">
      <alignment horizontal="center" vertical="center"/>
    </xf>
    <xf numFmtId="0" fontId="3" fillId="7" borderId="0" xfId="0" applyFont="1" applyFill="1" applyAlignment="1">
      <alignment horizontal="center" vertical="center"/>
    </xf>
    <xf numFmtId="0" fontId="2" fillId="7" borderId="0" xfId="0" applyFont="1" applyFill="1"/>
    <xf numFmtId="0" fontId="3" fillId="7" borderId="0" xfId="0" applyFont="1" applyFill="1" applyAlignment="1">
      <alignment vertical="center"/>
    </xf>
    <xf numFmtId="0" fontId="2" fillId="7" borderId="0" xfId="0" applyFont="1" applyFill="1" applyAlignment="1">
      <alignment vertical="center"/>
    </xf>
    <xf numFmtId="0" fontId="14" fillId="0" borderId="19" xfId="0" applyFont="1" applyBorder="1" applyAlignment="1">
      <alignment horizontal="left" vertical="center" indent="5"/>
    </xf>
    <xf numFmtId="0" fontId="15" fillId="0" borderId="0" xfId="0" applyFont="1"/>
    <xf numFmtId="0" fontId="17" fillId="0" borderId="0" xfId="0" applyFont="1"/>
    <xf numFmtId="0" fontId="18" fillId="0" borderId="0" xfId="0" applyFont="1" applyAlignment="1">
      <alignment vertical="center" wrapText="1"/>
    </xf>
    <xf numFmtId="0" fontId="5" fillId="0" borderId="18" xfId="0" applyFont="1" applyBorder="1" applyAlignment="1">
      <alignment horizontal="center" vertical="center"/>
    </xf>
    <xf numFmtId="0" fontId="5" fillId="2" borderId="17" xfId="0" applyFont="1" applyFill="1" applyBorder="1" applyAlignment="1">
      <alignment horizontal="left" vertical="center"/>
    </xf>
    <xf numFmtId="0" fontId="5" fillId="2" borderId="18" xfId="0" applyFont="1" applyFill="1" applyBorder="1" applyAlignment="1">
      <alignment horizontal="left" vertical="center"/>
    </xf>
    <xf numFmtId="0" fontId="5" fillId="0" borderId="19" xfId="0" applyFont="1" applyBorder="1" applyAlignment="1">
      <alignment horizontal="center" vertical="center" wrapText="1"/>
    </xf>
    <xf numFmtId="0" fontId="0" fillId="0" borderId="30" xfId="0" applyBorder="1"/>
    <xf numFmtId="0" fontId="28" fillId="0" borderId="31" xfId="0" applyFont="1" applyBorder="1" applyAlignment="1">
      <alignment horizontal="center"/>
    </xf>
    <xf numFmtId="0" fontId="28" fillId="0" borderId="31" xfId="0" applyFont="1" applyBorder="1" applyAlignment="1">
      <alignment horizontal="centerContinuous"/>
    </xf>
    <xf numFmtId="0" fontId="0" fillId="8" borderId="0" xfId="0" applyFill="1"/>
    <xf numFmtId="0" fontId="0" fillId="8" borderId="30" xfId="0" applyFill="1" applyBorder="1"/>
    <xf numFmtId="0" fontId="24" fillId="7" borderId="0" xfId="0" applyFont="1" applyFill="1" applyAlignment="1">
      <alignment horizontal="center"/>
    </xf>
    <xf numFmtId="1" fontId="25" fillId="7" borderId="0" xfId="0" applyNumberFormat="1" applyFont="1" applyFill="1" applyAlignment="1">
      <alignment horizontal="left"/>
    </xf>
    <xf numFmtId="0" fontId="25" fillId="7" borderId="0" xfId="0" applyFont="1" applyFill="1" applyAlignment="1">
      <alignment horizontal="center"/>
    </xf>
    <xf numFmtId="0" fontId="25" fillId="7" borderId="0" xfId="0" applyFont="1" applyFill="1" applyAlignment="1">
      <alignment horizontal="center" vertical="center"/>
    </xf>
    <xf numFmtId="0" fontId="14" fillId="7" borderId="0" xfId="0" applyFont="1" applyFill="1"/>
    <xf numFmtId="0" fontId="25" fillId="7" borderId="0" xfId="0" applyFont="1" applyFill="1" applyAlignment="1">
      <alignment horizontal="left" vertical="center"/>
    </xf>
    <xf numFmtId="0" fontId="25" fillId="7" borderId="0" xfId="0" applyFont="1" applyFill="1"/>
    <xf numFmtId="164" fontId="25" fillId="7" borderId="0" xfId="0" applyNumberFormat="1" applyFont="1" applyFill="1" applyAlignment="1">
      <alignment horizontal="center" vertical="center" wrapText="1"/>
    </xf>
    <xf numFmtId="164" fontId="8" fillId="7" borderId="0" xfId="0" applyNumberFormat="1" applyFont="1" applyFill="1" applyAlignment="1">
      <alignment horizontal="center" vertical="center" wrapText="1"/>
    </xf>
    <xf numFmtId="166" fontId="8" fillId="7" borderId="0" xfId="0" applyNumberFormat="1" applyFont="1" applyFill="1" applyAlignment="1">
      <alignment horizontal="center" vertical="center" wrapText="1"/>
    </xf>
    <xf numFmtId="171" fontId="8" fillId="7" borderId="0" xfId="0" applyNumberFormat="1" applyFont="1" applyFill="1" applyAlignment="1">
      <alignment horizontal="center" vertical="center" wrapText="1"/>
    </xf>
    <xf numFmtId="0" fontId="0" fillId="7" borderId="0" xfId="0" applyFill="1"/>
    <xf numFmtId="0" fontId="8" fillId="7" borderId="0" xfId="0" applyFont="1" applyFill="1" applyAlignment="1">
      <alignment horizontal="center" vertical="center"/>
    </xf>
    <xf numFmtId="0" fontId="8" fillId="7" borderId="0" xfId="0" applyFont="1" applyFill="1"/>
    <xf numFmtId="0" fontId="8" fillId="7" borderId="0" xfId="0" applyFont="1" applyFill="1" applyAlignment="1">
      <alignment horizontal="center"/>
    </xf>
    <xf numFmtId="164" fontId="8" fillId="7" borderId="0" xfId="0" applyNumberFormat="1" applyFont="1" applyFill="1"/>
    <xf numFmtId="0" fontId="25" fillId="7" borderId="16" xfId="0" applyFont="1" applyFill="1" applyBorder="1" applyAlignment="1">
      <alignment horizontal="center" vertical="center"/>
    </xf>
    <xf numFmtId="0" fontId="25" fillId="7" borderId="19" xfId="0" applyFont="1" applyFill="1" applyBorder="1" applyAlignment="1">
      <alignment horizontal="center" vertical="center"/>
    </xf>
    <xf numFmtId="0" fontId="8" fillId="7" borderId="16" xfId="0" applyFont="1" applyFill="1" applyBorder="1"/>
    <xf numFmtId="0" fontId="6" fillId="7" borderId="16" xfId="0" applyFont="1" applyFill="1" applyBorder="1" applyAlignment="1">
      <alignment horizontal="center"/>
    </xf>
    <xf numFmtId="0" fontId="8" fillId="7" borderId="16" xfId="0" applyFont="1" applyFill="1" applyBorder="1" applyAlignment="1">
      <alignment horizontal="center"/>
    </xf>
    <xf numFmtId="2" fontId="8" fillId="7" borderId="16" xfId="0" applyNumberFormat="1" applyFont="1" applyFill="1" applyBorder="1" applyAlignment="1">
      <alignment horizontal="center" vertical="center"/>
    </xf>
    <xf numFmtId="0" fontId="8" fillId="7" borderId="16" xfId="0" applyFont="1" applyFill="1" applyBorder="1" applyAlignment="1">
      <alignment horizontal="center" vertical="center"/>
    </xf>
    <xf numFmtId="166" fontId="8" fillId="7" borderId="16" xfId="0" applyNumberFormat="1" applyFont="1" applyFill="1" applyBorder="1" applyAlignment="1">
      <alignment horizontal="center" vertical="center"/>
    </xf>
    <xf numFmtId="11" fontId="8" fillId="7" borderId="19" xfId="0" applyNumberFormat="1" applyFont="1" applyFill="1" applyBorder="1" applyAlignment="1">
      <alignment horizontal="center" vertical="center"/>
    </xf>
    <xf numFmtId="0" fontId="14" fillId="7" borderId="0" xfId="0" applyFont="1" applyFill="1" applyAlignment="1">
      <alignment wrapText="1"/>
    </xf>
    <xf numFmtId="0" fontId="0" fillId="7" borderId="0" xfId="0" applyFill="1" applyAlignment="1">
      <alignment wrapText="1"/>
    </xf>
    <xf numFmtId="1" fontId="8" fillId="7" borderId="16" xfId="0" applyNumberFormat="1" applyFont="1" applyFill="1" applyBorder="1" applyAlignment="1">
      <alignment horizontal="center" vertical="center"/>
    </xf>
    <xf numFmtId="0" fontId="8" fillId="7" borderId="19" xfId="0" applyFont="1" applyFill="1" applyBorder="1" applyAlignment="1">
      <alignment horizontal="center"/>
    </xf>
    <xf numFmtId="2" fontId="8" fillId="7" borderId="19" xfId="0" applyNumberFormat="1" applyFont="1" applyFill="1" applyBorder="1" applyAlignment="1">
      <alignment horizontal="center" vertical="center"/>
    </xf>
    <xf numFmtId="0" fontId="8" fillId="7" borderId="17" xfId="0" applyFont="1" applyFill="1" applyBorder="1"/>
    <xf numFmtId="0" fontId="8" fillId="7" borderId="17" xfId="0" applyFont="1" applyFill="1" applyBorder="1" applyAlignment="1">
      <alignment horizontal="center" vertical="center"/>
    </xf>
    <xf numFmtId="2" fontId="8" fillId="7" borderId="17" xfId="0" applyNumberFormat="1" applyFont="1" applyFill="1" applyBorder="1" applyAlignment="1">
      <alignment horizontal="center" vertical="center"/>
    </xf>
    <xf numFmtId="0" fontId="0" fillId="2" borderId="0" xfId="0" applyFill="1"/>
    <xf numFmtId="0" fontId="25" fillId="2" borderId="0" xfId="0" applyFont="1" applyFill="1" applyAlignment="1">
      <alignment horizontal="left" vertical="center"/>
    </xf>
    <xf numFmtId="0" fontId="25" fillId="2" borderId="0" xfId="0" applyFont="1" applyFill="1"/>
    <xf numFmtId="0" fontId="25" fillId="2" borderId="0" xfId="0" applyFont="1" applyFill="1" applyAlignment="1">
      <alignment horizontal="center" vertical="center"/>
    </xf>
    <xf numFmtId="164" fontId="25" fillId="2" borderId="0" xfId="0" applyNumberFormat="1" applyFont="1" applyFill="1" applyAlignment="1">
      <alignment horizontal="center" vertical="center" wrapText="1"/>
    </xf>
    <xf numFmtId="164" fontId="8" fillId="2" borderId="0" xfId="0" applyNumberFormat="1" applyFont="1" applyFill="1" applyAlignment="1">
      <alignment horizontal="center" vertical="center" wrapText="1"/>
    </xf>
    <xf numFmtId="166" fontId="8" fillId="2" borderId="0" xfId="0" applyNumberFormat="1" applyFont="1" applyFill="1" applyAlignment="1">
      <alignment horizontal="center" vertical="center" wrapText="1"/>
    </xf>
    <xf numFmtId="171" fontId="8" fillId="2" borderId="0" xfId="0" applyNumberFormat="1" applyFont="1" applyFill="1" applyAlignment="1">
      <alignment horizontal="center" vertical="center" wrapText="1"/>
    </xf>
    <xf numFmtId="166" fontId="0" fillId="2" borderId="0" xfId="0" applyNumberFormat="1" applyFill="1" applyAlignment="1">
      <alignment horizontal="center"/>
    </xf>
    <xf numFmtId="0" fontId="25" fillId="2" borderId="0" xfId="0" applyFont="1" applyFill="1" applyAlignment="1">
      <alignment horizontal="center"/>
    </xf>
    <xf numFmtId="0" fontId="8" fillId="2" borderId="0" xfId="0" applyFont="1" applyFill="1"/>
    <xf numFmtId="0" fontId="14" fillId="2" borderId="0" xfId="0" applyFont="1" applyFill="1" applyAlignment="1">
      <alignment horizontal="center" vertical="center"/>
    </xf>
    <xf numFmtId="1" fontId="25" fillId="2" borderId="0" xfId="0" applyNumberFormat="1" applyFont="1" applyFill="1"/>
    <xf numFmtId="0" fontId="6" fillId="2" borderId="0" xfId="0" applyFont="1" applyFill="1" applyAlignment="1">
      <alignment horizontal="center"/>
    </xf>
    <xf numFmtId="2" fontId="8" fillId="2" borderId="0" xfId="0" applyNumberFormat="1" applyFont="1" applyFill="1"/>
    <xf numFmtId="0" fontId="8" fillId="2" borderId="0" xfId="0" applyFont="1" applyFill="1" applyAlignment="1">
      <alignment horizontal="center"/>
    </xf>
    <xf numFmtId="166" fontId="8" fillId="2" borderId="0" xfId="0" applyNumberFormat="1" applyFont="1" applyFill="1"/>
    <xf numFmtId="1" fontId="8" fillId="2" borderId="0" xfId="0" applyNumberFormat="1" applyFont="1" applyFill="1" applyAlignment="1">
      <alignment horizontal="center"/>
    </xf>
    <xf numFmtId="164" fontId="5" fillId="0" borderId="0" xfId="0" applyNumberFormat="1" applyFont="1" applyAlignment="1">
      <alignment vertical="center"/>
    </xf>
    <xf numFmtId="0" fontId="5" fillId="0" borderId="0" xfId="0" applyFont="1" applyAlignment="1">
      <alignment vertical="center" wrapText="1"/>
    </xf>
    <xf numFmtId="0" fontId="2" fillId="2" borderId="0" xfId="0" applyFont="1" applyFill="1" applyAlignment="1">
      <alignment horizontal="center" vertical="distributed" wrapText="1"/>
    </xf>
    <xf numFmtId="0" fontId="2" fillId="2" borderId="0" xfId="0" applyFont="1" applyFill="1" applyAlignment="1">
      <alignment horizontal="left" vertical="distributed"/>
    </xf>
    <xf numFmtId="0" fontId="2" fillId="2" borderId="20" xfId="0" applyFont="1" applyFill="1" applyBorder="1" applyAlignment="1">
      <alignment horizontal="left" vertical="distributed"/>
    </xf>
    <xf numFmtId="0" fontId="2" fillId="2" borderId="21" xfId="0" applyFont="1" applyFill="1" applyBorder="1" applyAlignment="1">
      <alignment horizontal="left" vertical="distributed"/>
    </xf>
    <xf numFmtId="0" fontId="2" fillId="2" borderId="22" xfId="0" applyFont="1" applyFill="1" applyBorder="1" applyAlignment="1">
      <alignment horizontal="left" vertical="distributed"/>
    </xf>
    <xf numFmtId="0" fontId="2" fillId="2" borderId="0" xfId="0" applyFont="1" applyFill="1" applyAlignment="1">
      <alignment horizontal="center" wrapText="1"/>
    </xf>
    <xf numFmtId="0" fontId="2" fillId="2" borderId="19" xfId="0" applyFont="1" applyFill="1" applyBorder="1" applyAlignment="1">
      <alignment horizontal="left" vertical="center"/>
    </xf>
    <xf numFmtId="0" fontId="3" fillId="2" borderId="19" xfId="0" applyFont="1" applyFill="1" applyBorder="1" applyAlignment="1">
      <alignment horizontal="center" vertical="center"/>
    </xf>
    <xf numFmtId="0" fontId="2" fillId="2" borderId="19" xfId="0" applyFont="1" applyFill="1" applyBorder="1" applyAlignment="1">
      <alignment horizontal="center" vertical="center"/>
    </xf>
    <xf numFmtId="0" fontId="3" fillId="3" borderId="19" xfId="0" applyFont="1" applyFill="1" applyBorder="1" applyAlignment="1">
      <alignment horizontal="center" vertical="center"/>
    </xf>
    <xf numFmtId="0" fontId="2" fillId="2" borderId="12" xfId="0" applyFont="1" applyFill="1" applyBorder="1" applyAlignment="1">
      <alignment horizontal="center" vertical="center"/>
    </xf>
    <xf numFmtId="0" fontId="3" fillId="7" borderId="9" xfId="0" applyFont="1" applyFill="1" applyBorder="1" applyAlignment="1">
      <alignment horizontal="center" vertical="center"/>
    </xf>
    <xf numFmtId="0" fontId="3" fillId="7" borderId="10" xfId="0" applyFont="1" applyFill="1" applyBorder="1" applyAlignment="1">
      <alignment horizontal="center" vertical="center"/>
    </xf>
    <xf numFmtId="0" fontId="3" fillId="7" borderId="11" xfId="0" applyFont="1" applyFill="1" applyBorder="1" applyAlignment="1">
      <alignment horizontal="center" vertical="center"/>
    </xf>
    <xf numFmtId="0" fontId="2" fillId="7" borderId="12" xfId="0" applyFont="1" applyFill="1" applyBorder="1" applyAlignment="1">
      <alignment horizontal="center" vertical="center"/>
    </xf>
    <xf numFmtId="0" fontId="2" fillId="0" borderId="16" xfId="0" applyFont="1" applyBorder="1" applyAlignment="1">
      <alignment horizontal="left" vertical="center"/>
    </xf>
    <xf numFmtId="0" fontId="2" fillId="0" borderId="17" xfId="0" applyFont="1" applyBorder="1" applyAlignment="1">
      <alignment horizontal="left" vertical="center"/>
    </xf>
    <xf numFmtId="0" fontId="2" fillId="0" borderId="18" xfId="0" applyFont="1" applyBorder="1" applyAlignment="1">
      <alignment horizontal="left" vertical="center"/>
    </xf>
    <xf numFmtId="0" fontId="2" fillId="7" borderId="16" xfId="0" applyFont="1" applyFill="1" applyBorder="1" applyAlignment="1">
      <alignment horizontal="center" vertical="center"/>
    </xf>
    <xf numFmtId="0" fontId="2" fillId="7" borderId="17" xfId="0" applyFont="1" applyFill="1" applyBorder="1" applyAlignment="1">
      <alignment horizontal="center" vertical="center"/>
    </xf>
    <xf numFmtId="0" fontId="2" fillId="7" borderId="0" xfId="0" applyFont="1" applyFill="1" applyAlignment="1">
      <alignment horizontal="center" vertical="center"/>
    </xf>
    <xf numFmtId="164" fontId="3" fillId="0" borderId="0" xfId="0" applyNumberFormat="1" applyFont="1" applyAlignment="1">
      <alignment horizontal="center" vertical="center"/>
    </xf>
    <xf numFmtId="0" fontId="3" fillId="0" borderId="17" xfId="0" applyFont="1" applyBorder="1" applyAlignment="1">
      <alignment horizontal="center" vertical="center"/>
    </xf>
    <xf numFmtId="0" fontId="3" fillId="2" borderId="19" xfId="0" applyFont="1" applyFill="1" applyBorder="1" applyAlignment="1">
      <alignment horizontal="center" vertical="center" wrapText="1"/>
    </xf>
    <xf numFmtId="0" fontId="2" fillId="2" borderId="16" xfId="0" applyFont="1" applyFill="1" applyBorder="1" applyAlignment="1">
      <alignment horizontal="left" vertical="center"/>
    </xf>
    <xf numFmtId="0" fontId="2" fillId="2" borderId="17" xfId="0" applyFont="1" applyFill="1" applyBorder="1" applyAlignment="1">
      <alignment horizontal="left" vertical="center"/>
    </xf>
    <xf numFmtId="0" fontId="2" fillId="2" borderId="18" xfId="0" applyFont="1" applyFill="1" applyBorder="1" applyAlignment="1">
      <alignment horizontal="left"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5" xfId="0" applyFont="1" applyBorder="1" applyAlignment="1">
      <alignment horizontal="center" vertical="center" wrapText="1"/>
    </xf>
    <xf numFmtId="0" fontId="2" fillId="0" borderId="13" xfId="0" applyFont="1" applyBorder="1" applyAlignment="1">
      <alignment horizontal="left" vertical="center" wrapText="1"/>
    </xf>
    <xf numFmtId="0" fontId="2" fillId="0" borderId="14" xfId="0" applyFont="1" applyBorder="1" applyAlignment="1">
      <alignment horizontal="left" vertical="center" wrapText="1"/>
    </xf>
    <xf numFmtId="0" fontId="2" fillId="0" borderId="15" xfId="0" applyFont="1" applyBorder="1" applyAlignment="1">
      <alignment horizontal="left" vertical="center" wrapText="1"/>
    </xf>
    <xf numFmtId="1" fontId="2" fillId="2" borderId="16" xfId="0" applyNumberFormat="1" applyFont="1" applyFill="1" applyBorder="1" applyAlignment="1">
      <alignment horizontal="left" vertical="center"/>
    </xf>
    <xf numFmtId="1" fontId="2" fillId="2" borderId="17" xfId="0" applyNumberFormat="1" applyFont="1" applyFill="1" applyBorder="1" applyAlignment="1">
      <alignment horizontal="left" vertical="center"/>
    </xf>
    <xf numFmtId="1" fontId="2" fillId="2" borderId="18" xfId="0" applyNumberFormat="1" applyFont="1" applyFill="1" applyBorder="1" applyAlignment="1">
      <alignment horizontal="left" vertical="center"/>
    </xf>
    <xf numFmtId="0" fontId="2" fillId="2" borderId="16" xfId="0" applyFont="1" applyFill="1" applyBorder="1" applyAlignment="1">
      <alignment horizontal="center" vertical="center"/>
    </xf>
    <xf numFmtId="0" fontId="2" fillId="2" borderId="17" xfId="0" applyFont="1" applyFill="1" applyBorder="1" applyAlignment="1">
      <alignment horizontal="center" vertical="center"/>
    </xf>
    <xf numFmtId="0" fontId="2" fillId="2" borderId="18" xfId="0" applyFont="1" applyFill="1" applyBorder="1" applyAlignment="1">
      <alignment horizontal="center" vertical="center"/>
    </xf>
    <xf numFmtId="0" fontId="2" fillId="7" borderId="18" xfId="0" applyFont="1" applyFill="1" applyBorder="1" applyAlignment="1">
      <alignment horizontal="center" vertical="center"/>
    </xf>
    <xf numFmtId="164" fontId="2" fillId="7" borderId="13" xfId="0" applyNumberFormat="1" applyFont="1" applyFill="1" applyBorder="1" applyAlignment="1">
      <alignment horizontal="center" vertical="center"/>
    </xf>
    <xf numFmtId="164" fontId="2" fillId="7" borderId="14" xfId="0" applyNumberFormat="1" applyFont="1" applyFill="1" applyBorder="1" applyAlignment="1">
      <alignment horizontal="center" vertical="center"/>
    </xf>
    <xf numFmtId="164" fontId="2" fillId="7" borderId="15" xfId="0" applyNumberFormat="1" applyFont="1" applyFill="1" applyBorder="1" applyAlignment="1">
      <alignment horizontal="center" vertical="center"/>
    </xf>
    <xf numFmtId="0" fontId="2" fillId="2" borderId="16" xfId="0" quotePrefix="1" applyFont="1" applyFill="1" applyBorder="1" applyAlignment="1">
      <alignment horizontal="center" vertical="center"/>
    </xf>
    <xf numFmtId="1" fontId="2" fillId="0" borderId="13" xfId="0" applyNumberFormat="1" applyFont="1" applyBorder="1" applyAlignment="1">
      <alignment horizontal="center" vertical="center" wrapText="1"/>
    </xf>
    <xf numFmtId="1" fontId="2" fillId="0" borderId="14" xfId="0" applyNumberFormat="1" applyFont="1" applyBorder="1" applyAlignment="1">
      <alignment horizontal="center" vertical="center" wrapText="1"/>
    </xf>
    <xf numFmtId="1" fontId="2" fillId="0" borderId="15" xfId="0" applyNumberFormat="1" applyFont="1" applyBorder="1" applyAlignment="1">
      <alignment horizontal="center" vertical="center" wrapText="1"/>
    </xf>
    <xf numFmtId="0" fontId="2" fillId="7" borderId="12" xfId="0" applyFont="1" applyFill="1" applyBorder="1" applyAlignment="1">
      <alignment horizontal="center" vertical="center" wrapText="1"/>
    </xf>
    <xf numFmtId="49" fontId="3" fillId="2" borderId="16" xfId="0" applyNumberFormat="1" applyFont="1" applyFill="1" applyBorder="1" applyAlignment="1">
      <alignment horizontal="left" vertical="center"/>
    </xf>
    <xf numFmtId="49" fontId="3" fillId="2" borderId="17" xfId="0" applyNumberFormat="1" applyFont="1" applyFill="1" applyBorder="1" applyAlignment="1">
      <alignment horizontal="left" vertical="center"/>
    </xf>
    <xf numFmtId="49" fontId="3" fillId="2" borderId="18" xfId="0" applyNumberFormat="1" applyFont="1" applyFill="1" applyBorder="1" applyAlignment="1">
      <alignment horizontal="left" vertical="center"/>
    </xf>
    <xf numFmtId="0" fontId="2" fillId="7" borderId="16" xfId="0" applyFont="1" applyFill="1" applyBorder="1" applyAlignment="1">
      <alignment horizontal="left" vertical="center"/>
    </xf>
    <xf numFmtId="0" fontId="2" fillId="7" borderId="17" xfId="0" applyFont="1" applyFill="1" applyBorder="1" applyAlignment="1">
      <alignment horizontal="left" vertical="center"/>
    </xf>
    <xf numFmtId="0" fontId="2" fillId="7" borderId="18" xfId="0" applyFont="1" applyFill="1" applyBorder="1" applyAlignment="1">
      <alignment horizontal="left" vertical="center"/>
    </xf>
    <xf numFmtId="0" fontId="5" fillId="7" borderId="16" xfId="0" applyFont="1" applyFill="1" applyBorder="1" applyAlignment="1">
      <alignment horizontal="center"/>
    </xf>
    <xf numFmtId="0" fontId="5" fillId="7" borderId="17" xfId="0" applyFont="1" applyFill="1" applyBorder="1" applyAlignment="1">
      <alignment horizontal="center"/>
    </xf>
    <xf numFmtId="0" fontId="2" fillId="2" borderId="13" xfId="0" applyFont="1" applyFill="1" applyBorder="1" applyAlignment="1">
      <alignment horizontal="left" vertical="center"/>
    </xf>
    <xf numFmtId="0" fontId="2" fillId="2" borderId="14" xfId="0" applyFont="1" applyFill="1" applyBorder="1" applyAlignment="1">
      <alignment horizontal="left" vertical="center"/>
    </xf>
    <xf numFmtId="0" fontId="2" fillId="2" borderId="15" xfId="0" applyFont="1" applyFill="1" applyBorder="1" applyAlignment="1">
      <alignment horizontal="left" vertical="center"/>
    </xf>
    <xf numFmtId="0" fontId="2" fillId="7" borderId="13" xfId="0" applyFont="1" applyFill="1" applyBorder="1" applyAlignment="1">
      <alignment horizontal="center" vertical="center"/>
    </xf>
    <xf numFmtId="0" fontId="2" fillId="7" borderId="14" xfId="0" applyFont="1" applyFill="1" applyBorder="1" applyAlignment="1">
      <alignment horizontal="center" vertical="center"/>
    </xf>
    <xf numFmtId="0" fontId="2" fillId="7" borderId="15" xfId="0" applyFont="1" applyFill="1" applyBorder="1" applyAlignment="1">
      <alignment horizontal="center" vertical="center"/>
    </xf>
    <xf numFmtId="0" fontId="2" fillId="7" borderId="16" xfId="0" quotePrefix="1" applyFont="1" applyFill="1" applyBorder="1" applyAlignment="1">
      <alignment horizontal="center" vertical="center"/>
    </xf>
    <xf numFmtId="0" fontId="2" fillId="7" borderId="17" xfId="0" quotePrefix="1" applyFont="1" applyFill="1" applyBorder="1" applyAlignment="1">
      <alignment horizontal="center" vertical="center"/>
    </xf>
    <xf numFmtId="0" fontId="3" fillId="2" borderId="16" xfId="0" applyFont="1" applyFill="1" applyBorder="1" applyAlignment="1">
      <alignment horizontal="center" vertical="center"/>
    </xf>
    <xf numFmtId="0" fontId="3" fillId="2" borderId="17" xfId="0" applyFont="1" applyFill="1" applyBorder="1" applyAlignment="1">
      <alignment horizontal="center" vertical="center"/>
    </xf>
    <xf numFmtId="0" fontId="3" fillId="2" borderId="18" xfId="0" applyFont="1" applyFill="1" applyBorder="1" applyAlignment="1">
      <alignment horizontal="center" vertical="center"/>
    </xf>
    <xf numFmtId="49" fontId="2" fillId="7" borderId="16" xfId="0" applyNumberFormat="1" applyFont="1" applyFill="1" applyBorder="1" applyAlignment="1">
      <alignment horizontal="left" vertical="center"/>
    </xf>
    <xf numFmtId="49" fontId="2" fillId="7" borderId="17" xfId="0" applyNumberFormat="1" applyFont="1" applyFill="1" applyBorder="1" applyAlignment="1">
      <alignment horizontal="left" vertical="center"/>
    </xf>
    <xf numFmtId="49" fontId="2" fillId="7" borderId="18" xfId="0" applyNumberFormat="1" applyFont="1" applyFill="1" applyBorder="1" applyAlignment="1">
      <alignment horizontal="left" vertical="center"/>
    </xf>
    <xf numFmtId="0" fontId="2" fillId="7" borderId="19" xfId="0" quotePrefix="1" applyFont="1" applyFill="1" applyBorder="1" applyAlignment="1">
      <alignment horizontal="left"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5" xfId="0" applyFont="1" applyFill="1" applyBorder="1" applyAlignment="1">
      <alignment horizontal="center" vertical="center"/>
    </xf>
    <xf numFmtId="1" fontId="4" fillId="2" borderId="2" xfId="0" applyNumberFormat="1" applyFont="1" applyFill="1" applyBorder="1" applyAlignment="1">
      <alignment horizontal="center" vertical="center"/>
    </xf>
    <xf numFmtId="1" fontId="4" fillId="2" borderId="0" xfId="0" applyNumberFormat="1" applyFont="1" applyFill="1" applyAlignment="1">
      <alignment horizontal="center" vertical="center"/>
    </xf>
    <xf numFmtId="1" fontId="4" fillId="2" borderId="2" xfId="0" applyNumberFormat="1" applyFont="1" applyFill="1" applyBorder="1" applyAlignment="1">
      <alignment horizontal="center" vertical="center" wrapText="1"/>
    </xf>
    <xf numFmtId="1" fontId="4" fillId="2" borderId="0" xfId="0" applyNumberFormat="1" applyFont="1" applyFill="1" applyAlignment="1">
      <alignment horizontal="center" vertical="center" wrapText="1"/>
    </xf>
    <xf numFmtId="1" fontId="4" fillId="2" borderId="4" xfId="0" applyNumberFormat="1" applyFont="1" applyFill="1" applyBorder="1" applyAlignment="1">
      <alignment horizontal="center" vertical="center" wrapText="1"/>
    </xf>
    <xf numFmtId="1" fontId="4" fillId="2" borderId="3" xfId="0" applyNumberFormat="1" applyFont="1" applyFill="1" applyBorder="1" applyAlignment="1">
      <alignment horizontal="center" vertical="center" wrapText="1"/>
    </xf>
    <xf numFmtId="0" fontId="2" fillId="7" borderId="16" xfId="0" quotePrefix="1" applyFont="1" applyFill="1" applyBorder="1" applyAlignment="1">
      <alignment horizontal="left" vertical="center"/>
    </xf>
    <xf numFmtId="0" fontId="2" fillId="7" borderId="17" xfId="0" quotePrefix="1" applyFont="1" applyFill="1" applyBorder="1" applyAlignment="1">
      <alignment horizontal="left" vertical="center"/>
    </xf>
    <xf numFmtId="0" fontId="2" fillId="7" borderId="18" xfId="0" quotePrefix="1" applyFont="1" applyFill="1" applyBorder="1" applyAlignment="1">
      <alignment horizontal="left" vertical="center"/>
    </xf>
    <xf numFmtId="0" fontId="2" fillId="7" borderId="19" xfId="0" applyFont="1" applyFill="1" applyBorder="1" applyAlignment="1">
      <alignment horizontal="left" vertical="center"/>
    </xf>
    <xf numFmtId="0" fontId="2" fillId="0" borderId="19" xfId="0" quotePrefix="1" applyFont="1" applyBorder="1" applyAlignment="1">
      <alignment horizontal="left" vertical="center"/>
    </xf>
    <xf numFmtId="0" fontId="2" fillId="7" borderId="19" xfId="0" applyFont="1" applyFill="1" applyBorder="1" applyAlignment="1">
      <alignment horizontal="center" vertical="center" wrapText="1"/>
    </xf>
    <xf numFmtId="0" fontId="2" fillId="2" borderId="2" xfId="0" applyFont="1" applyFill="1" applyBorder="1" applyAlignment="1">
      <alignment horizontal="left" vertical="distributed" wrapText="1"/>
    </xf>
    <xf numFmtId="0" fontId="2" fillId="2" borderId="0" xfId="0" applyFont="1" applyFill="1" applyAlignment="1">
      <alignment horizontal="left" vertical="distributed" wrapText="1"/>
    </xf>
    <xf numFmtId="0" fontId="2" fillId="2" borderId="23" xfId="0" applyFont="1" applyFill="1" applyBorder="1" applyAlignment="1">
      <alignment horizontal="left" vertical="distributed" wrapText="1"/>
    </xf>
    <xf numFmtId="0" fontId="2" fillId="0" borderId="16" xfId="0" applyFont="1" applyBorder="1" applyAlignment="1">
      <alignment horizontal="left" vertical="center" wrapText="1"/>
    </xf>
    <xf numFmtId="0" fontId="2" fillId="0" borderId="17" xfId="0" applyFont="1" applyBorder="1" applyAlignment="1">
      <alignment horizontal="left" vertical="center" wrapText="1"/>
    </xf>
    <xf numFmtId="0" fontId="2" fillId="0" borderId="18" xfId="0" applyFont="1" applyBorder="1" applyAlignment="1">
      <alignment horizontal="left" vertical="center" wrapText="1"/>
    </xf>
    <xf numFmtId="1" fontId="2" fillId="0" borderId="16" xfId="0" applyNumberFormat="1" applyFont="1" applyBorder="1" applyAlignment="1">
      <alignment horizontal="center" vertical="center" wrapText="1"/>
    </xf>
    <xf numFmtId="1" fontId="2" fillId="0" borderId="17" xfId="0" applyNumberFormat="1" applyFont="1" applyBorder="1" applyAlignment="1">
      <alignment horizontal="center" vertical="center" wrapText="1"/>
    </xf>
    <xf numFmtId="1" fontId="2" fillId="0" borderId="18" xfId="0" applyNumberFormat="1" applyFont="1" applyBorder="1" applyAlignment="1">
      <alignment horizontal="center" vertical="center" wrapText="1"/>
    </xf>
    <xf numFmtId="0" fontId="3" fillId="2" borderId="0" xfId="0" applyFont="1" applyFill="1" applyAlignment="1">
      <alignment horizontal="left" vertical="center"/>
    </xf>
    <xf numFmtId="0" fontId="2" fillId="0" borderId="12" xfId="0" applyFont="1" applyBorder="1" applyAlignment="1">
      <alignment horizontal="center" vertical="center"/>
    </xf>
    <xf numFmtId="0" fontId="2" fillId="0" borderId="19" xfId="0" applyFont="1" applyBorder="1" applyAlignment="1">
      <alignment horizontal="center" vertical="center"/>
    </xf>
    <xf numFmtId="0" fontId="3" fillId="0" borderId="19" xfId="0" applyFont="1" applyBorder="1" applyAlignment="1">
      <alignment horizontal="center" vertical="center"/>
    </xf>
    <xf numFmtId="0" fontId="2" fillId="2" borderId="9" xfId="0" applyFont="1" applyFill="1" applyBorder="1" applyAlignment="1">
      <alignment horizontal="center" vertical="distributed"/>
    </xf>
    <xf numFmtId="0" fontId="2" fillId="2" borderId="10" xfId="0" applyFont="1" applyFill="1" applyBorder="1" applyAlignment="1">
      <alignment horizontal="center" vertical="distributed"/>
    </xf>
    <xf numFmtId="0" fontId="2" fillId="2" borderId="11" xfId="0" applyFont="1" applyFill="1" applyBorder="1" applyAlignment="1">
      <alignment horizontal="center" vertical="distributed"/>
    </xf>
    <xf numFmtId="0" fontId="2" fillId="2" borderId="16" xfId="0" applyFont="1" applyFill="1" applyBorder="1" applyAlignment="1">
      <alignment horizontal="left" vertical="distributed" wrapText="1"/>
    </xf>
    <xf numFmtId="0" fontId="2" fillId="2" borderId="17" xfId="0" applyFont="1" applyFill="1" applyBorder="1" applyAlignment="1">
      <alignment horizontal="left" vertical="distributed" wrapText="1"/>
    </xf>
    <xf numFmtId="0" fontId="2" fillId="2" borderId="18" xfId="0" applyFont="1" applyFill="1" applyBorder="1" applyAlignment="1">
      <alignment horizontal="left" vertical="distributed" wrapText="1"/>
    </xf>
    <xf numFmtId="0" fontId="2" fillId="2" borderId="19" xfId="0" applyFont="1" applyFill="1" applyBorder="1" applyAlignment="1">
      <alignment horizontal="left" vertical="distributed" wrapText="1"/>
    </xf>
    <xf numFmtId="0" fontId="2" fillId="2" borderId="9" xfId="0" applyFont="1" applyFill="1" applyBorder="1" applyAlignment="1">
      <alignment horizontal="left" vertical="distributed" wrapText="1"/>
    </xf>
    <xf numFmtId="0" fontId="2" fillId="2" borderId="10" xfId="0" applyFont="1" applyFill="1" applyBorder="1" applyAlignment="1">
      <alignment horizontal="left" vertical="distributed" wrapText="1"/>
    </xf>
    <xf numFmtId="0" fontId="2" fillId="2" borderId="11" xfId="0" applyFont="1" applyFill="1" applyBorder="1" applyAlignment="1">
      <alignment horizontal="left" vertical="distributed" wrapText="1"/>
    </xf>
    <xf numFmtId="0" fontId="2" fillId="2" borderId="19" xfId="0" applyFont="1" applyFill="1" applyBorder="1" applyAlignment="1">
      <alignment horizontal="left" vertical="distributed"/>
    </xf>
    <xf numFmtId="0" fontId="2" fillId="2" borderId="16" xfId="0" applyFont="1" applyFill="1" applyBorder="1" applyAlignment="1">
      <alignment horizontal="center" vertical="distributed"/>
    </xf>
    <xf numFmtId="0" fontId="2" fillId="2" borderId="17" xfId="0" applyFont="1" applyFill="1" applyBorder="1" applyAlignment="1">
      <alignment horizontal="center" vertical="distributed"/>
    </xf>
    <xf numFmtId="0" fontId="2" fillId="2" borderId="18" xfId="0" applyFont="1" applyFill="1" applyBorder="1" applyAlignment="1">
      <alignment horizontal="center" vertical="distributed"/>
    </xf>
    <xf numFmtId="0" fontId="3" fillId="2" borderId="0" xfId="0" applyFont="1" applyFill="1" applyAlignment="1">
      <alignment horizontal="center" vertical="center" wrapText="1"/>
    </xf>
    <xf numFmtId="0" fontId="2" fillId="2" borderId="20" xfId="0" applyFont="1" applyFill="1" applyBorder="1" applyAlignment="1">
      <alignment horizontal="center" vertical="center" wrapText="1"/>
    </xf>
    <xf numFmtId="0" fontId="2" fillId="2" borderId="22"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1" xfId="0" applyFont="1" applyFill="1" applyBorder="1" applyAlignment="1">
      <alignment horizontal="center" vertical="center" wrapText="1"/>
    </xf>
    <xf numFmtId="9" fontId="3" fillId="2" borderId="0" xfId="1" applyFont="1" applyFill="1" applyBorder="1" applyAlignment="1">
      <alignment horizontal="center" vertical="center"/>
    </xf>
    <xf numFmtId="0" fontId="2" fillId="2" borderId="20" xfId="1" applyNumberFormat="1" applyFont="1" applyFill="1" applyBorder="1" applyAlignment="1">
      <alignment horizontal="center" vertical="center"/>
    </xf>
    <xf numFmtId="0" fontId="2" fillId="2" borderId="22" xfId="1" applyNumberFormat="1" applyFont="1" applyFill="1" applyBorder="1" applyAlignment="1">
      <alignment horizontal="center" vertical="center"/>
    </xf>
    <xf numFmtId="0" fontId="2" fillId="2" borderId="9" xfId="1" applyNumberFormat="1" applyFont="1" applyFill="1" applyBorder="1" applyAlignment="1">
      <alignment horizontal="center" vertical="center"/>
    </xf>
    <xf numFmtId="0" fontId="2" fillId="2" borderId="11" xfId="1" applyNumberFormat="1" applyFont="1" applyFill="1" applyBorder="1" applyAlignment="1">
      <alignment horizontal="center" vertical="center"/>
    </xf>
    <xf numFmtId="0" fontId="3" fillId="2" borderId="20" xfId="0" applyFont="1" applyFill="1" applyBorder="1" applyAlignment="1">
      <alignment horizontal="center" vertical="center"/>
    </xf>
    <xf numFmtId="0" fontId="3" fillId="2" borderId="21" xfId="0" applyFont="1" applyFill="1" applyBorder="1" applyAlignment="1">
      <alignment horizontal="center" vertical="center"/>
    </xf>
    <xf numFmtId="0" fontId="3" fillId="2" borderId="22"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0" xfId="0" applyFont="1" applyFill="1" applyAlignment="1">
      <alignment horizontal="center" vertical="center"/>
    </xf>
    <xf numFmtId="0" fontId="3" fillId="2" borderId="23" xfId="0" applyFont="1" applyFill="1" applyBorder="1" applyAlignment="1">
      <alignment horizontal="center" vertical="center"/>
    </xf>
    <xf numFmtId="0" fontId="2" fillId="2" borderId="23" xfId="0" applyFont="1" applyFill="1" applyBorder="1" applyAlignment="1">
      <alignment horizontal="center" vertical="top"/>
    </xf>
    <xf numFmtId="0" fontId="2" fillId="2" borderId="12" xfId="0" applyFont="1" applyFill="1" applyBorder="1" applyAlignment="1">
      <alignment horizontal="center" vertical="top"/>
    </xf>
    <xf numFmtId="0" fontId="3" fillId="0" borderId="0" xfId="0" applyFont="1" applyAlignment="1">
      <alignment horizontal="center" vertical="center"/>
    </xf>
    <xf numFmtId="0" fontId="3" fillId="3" borderId="25" xfId="0" applyFont="1" applyFill="1" applyBorder="1" applyAlignment="1">
      <alignment horizontal="center" vertical="center"/>
    </xf>
    <xf numFmtId="0" fontId="2" fillId="3" borderId="19" xfId="0" applyFont="1" applyFill="1" applyBorder="1" applyAlignment="1">
      <alignment horizontal="center" vertical="center"/>
    </xf>
    <xf numFmtId="0" fontId="2" fillId="2" borderId="0" xfId="0" applyFont="1" applyFill="1" applyAlignment="1">
      <alignment horizontal="center" vertical="center"/>
    </xf>
    <xf numFmtId="0" fontId="3" fillId="7" borderId="0" xfId="0" applyFont="1" applyFill="1" applyAlignment="1">
      <alignment horizontal="center" vertical="center"/>
    </xf>
    <xf numFmtId="0" fontId="3" fillId="3" borderId="5" xfId="0" applyFont="1" applyFill="1" applyBorder="1" applyAlignment="1">
      <alignment horizontal="center" vertical="center"/>
    </xf>
    <xf numFmtId="49" fontId="5" fillId="0" borderId="9" xfId="0" applyNumberFormat="1" applyFont="1" applyBorder="1" applyAlignment="1">
      <alignment horizontal="left" vertical="center" wrapText="1"/>
    </xf>
    <xf numFmtId="0" fontId="5" fillId="0" borderId="10" xfId="0" applyFont="1" applyBorder="1" applyAlignment="1">
      <alignment horizontal="left" vertical="center" wrapText="1"/>
    </xf>
    <xf numFmtId="0" fontId="5" fillId="0" borderId="11" xfId="0" applyFont="1" applyBorder="1" applyAlignment="1">
      <alignment horizontal="left" vertical="center" wrapText="1"/>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3"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9" xfId="0" applyFont="1" applyBorder="1" applyAlignment="1">
      <alignment horizontal="left"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2" fontId="5" fillId="0" borderId="12" xfId="0" applyNumberFormat="1" applyFont="1" applyBorder="1" applyAlignment="1">
      <alignment horizontal="center" vertical="center" wrapText="1"/>
    </xf>
    <xf numFmtId="2" fontId="2" fillId="0" borderId="12" xfId="0" applyNumberFormat="1" applyFont="1" applyBorder="1" applyAlignment="1">
      <alignment horizontal="center" vertical="center"/>
    </xf>
    <xf numFmtId="164" fontId="5" fillId="0" borderId="12" xfId="1" applyNumberFormat="1" applyFont="1" applyBorder="1" applyAlignment="1">
      <alignment horizontal="center" vertical="center"/>
    </xf>
    <xf numFmtId="1" fontId="5" fillId="0" borderId="13" xfId="0" applyNumberFormat="1" applyFont="1" applyBorder="1" applyAlignment="1">
      <alignment horizontal="center" vertical="center"/>
    </xf>
    <xf numFmtId="1" fontId="5" fillId="0" borderId="15" xfId="0" applyNumberFormat="1" applyFont="1" applyBorder="1" applyAlignment="1">
      <alignment horizontal="center" vertical="center"/>
    </xf>
    <xf numFmtId="0" fontId="5" fillId="0" borderId="12" xfId="0" applyFont="1" applyBorder="1" applyAlignment="1">
      <alignment horizontal="center" vertical="center"/>
    </xf>
    <xf numFmtId="0" fontId="2" fillId="2" borderId="26"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27" xfId="0" applyFont="1" applyFill="1" applyBorder="1" applyAlignment="1">
      <alignment horizontal="center" vertical="center" wrapText="1"/>
    </xf>
    <xf numFmtId="0" fontId="7" fillId="0" borderId="6" xfId="0" applyFont="1" applyBorder="1" applyAlignment="1">
      <alignment horizontal="center"/>
    </xf>
    <xf numFmtId="0" fontId="7" fillId="0" borderId="7" xfId="0" applyFont="1" applyBorder="1" applyAlignment="1">
      <alignment horizontal="center"/>
    </xf>
    <xf numFmtId="0" fontId="7" fillId="0" borderId="8" xfId="0" applyFont="1" applyBorder="1" applyAlignment="1">
      <alignment horizontal="center"/>
    </xf>
    <xf numFmtId="0" fontId="3" fillId="0" borderId="25" xfId="0" applyFont="1" applyBorder="1" applyAlignment="1">
      <alignment horizontal="center" vertical="center"/>
    </xf>
    <xf numFmtId="0" fontId="3" fillId="0" borderId="28" xfId="0" applyFont="1" applyBorder="1" applyAlignment="1">
      <alignment horizontal="center" vertical="center"/>
    </xf>
    <xf numFmtId="0" fontId="7" fillId="0" borderId="19" xfId="0" applyFont="1" applyBorder="1" applyAlignment="1">
      <alignment horizontal="center" vertical="center" wrapText="1"/>
    </xf>
    <xf numFmtId="0" fontId="7" fillId="0" borderId="5"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1"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4" xfId="0" applyFont="1" applyBorder="1" applyAlignment="1">
      <alignment horizontal="center" vertical="center" wrapText="1"/>
    </xf>
    <xf numFmtId="0" fontId="7" fillId="0" borderId="3" xfId="0" applyFont="1" applyBorder="1" applyAlignment="1">
      <alignment horizontal="center" vertical="center" wrapText="1"/>
    </xf>
    <xf numFmtId="0" fontId="7" fillId="0" borderId="29" xfId="0" applyFont="1" applyBorder="1" applyAlignment="1">
      <alignment horizontal="center" vertical="center" wrapText="1"/>
    </xf>
    <xf numFmtId="0" fontId="3" fillId="0" borderId="19" xfId="0" applyFont="1" applyBorder="1" applyAlignment="1">
      <alignment horizontal="center" vertical="center" wrapText="1"/>
    </xf>
    <xf numFmtId="0" fontId="7" fillId="2" borderId="19"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3" fillId="0" borderId="5" xfId="0" applyFont="1" applyBorder="1" applyAlignment="1">
      <alignment horizontal="center" vertical="center"/>
    </xf>
    <xf numFmtId="0" fontId="3" fillId="0" borderId="16" xfId="0" applyFont="1" applyBorder="1" applyAlignment="1">
      <alignment horizontal="center" vertical="center"/>
    </xf>
    <xf numFmtId="0" fontId="3" fillId="0" borderId="12"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164" fontId="3" fillId="0" borderId="12" xfId="0" applyNumberFormat="1" applyFont="1" applyBorder="1" applyAlignment="1">
      <alignment horizontal="center" vertical="center" wrapText="1"/>
    </xf>
    <xf numFmtId="2" fontId="3" fillId="0" borderId="12" xfId="0" applyNumberFormat="1" applyFont="1" applyBorder="1" applyAlignment="1">
      <alignment horizontal="center" vertical="center" wrapText="1"/>
    </xf>
    <xf numFmtId="0" fontId="2" fillId="0" borderId="16" xfId="0" applyFont="1" applyBorder="1" applyAlignment="1">
      <alignment horizontal="left"/>
    </xf>
    <xf numFmtId="0" fontId="2" fillId="0" borderId="17" xfId="0" applyFont="1" applyBorder="1" applyAlignment="1">
      <alignment horizontal="left"/>
    </xf>
    <xf numFmtId="0" fontId="2" fillId="0" borderId="18" xfId="0" applyFont="1" applyBorder="1" applyAlignment="1">
      <alignment horizontal="left"/>
    </xf>
    <xf numFmtId="0" fontId="2" fillId="0" borderId="19" xfId="0" applyFont="1" applyBorder="1" applyAlignment="1">
      <alignment horizontal="center"/>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2" fillId="0" borderId="12" xfId="0" applyFont="1" applyBorder="1" applyAlignment="1">
      <alignment horizontal="left" vertical="center" wrapText="1"/>
    </xf>
    <xf numFmtId="164" fontId="2" fillId="0" borderId="12" xfId="0" applyNumberFormat="1" applyFont="1" applyBorder="1" applyAlignment="1">
      <alignment horizontal="center" vertical="center" wrapText="1"/>
    </xf>
    <xf numFmtId="164" fontId="2" fillId="0" borderId="9" xfId="0" applyNumberFormat="1" applyFont="1" applyBorder="1" applyAlignment="1">
      <alignment horizontal="center" vertical="center" wrapText="1"/>
    </xf>
    <xf numFmtId="2" fontId="2" fillId="0" borderId="13" xfId="0" applyNumberFormat="1" applyFont="1" applyBorder="1" applyAlignment="1">
      <alignment horizontal="center" vertical="center"/>
    </xf>
    <xf numFmtId="2" fontId="2" fillId="0" borderId="14" xfId="0" applyNumberFormat="1" applyFont="1" applyBorder="1" applyAlignment="1">
      <alignment horizontal="center" vertical="center"/>
    </xf>
    <xf numFmtId="2" fontId="2" fillId="0" borderId="15" xfId="0" applyNumberFormat="1"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1" fontId="2" fillId="0" borderId="26" xfId="0" applyNumberFormat="1" applyFont="1" applyBorder="1" applyAlignment="1">
      <alignment horizontal="center" vertical="center" wrapText="1"/>
    </xf>
    <xf numFmtId="1" fontId="2" fillId="0" borderId="1" xfId="0" applyNumberFormat="1" applyFont="1" applyBorder="1" applyAlignment="1">
      <alignment horizontal="center" vertical="center" wrapText="1"/>
    </xf>
    <xf numFmtId="1" fontId="2" fillId="0" borderId="27" xfId="0" applyNumberFormat="1" applyFont="1" applyBorder="1" applyAlignment="1">
      <alignment horizontal="center" vertical="center" wrapText="1"/>
    </xf>
    <xf numFmtId="1" fontId="2" fillId="0" borderId="2" xfId="0" applyNumberFormat="1" applyFont="1" applyBorder="1" applyAlignment="1">
      <alignment horizontal="center" vertical="center" wrapText="1"/>
    </xf>
    <xf numFmtId="1" fontId="2" fillId="0" borderId="0" xfId="0" applyNumberFormat="1" applyFont="1" applyAlignment="1">
      <alignment horizontal="center" vertical="center" wrapText="1"/>
    </xf>
    <xf numFmtId="1" fontId="2" fillId="0" borderId="23" xfId="0" applyNumberFormat="1" applyFont="1" applyBorder="1" applyAlignment="1">
      <alignment horizontal="center" vertical="center" wrapText="1"/>
    </xf>
    <xf numFmtId="1" fontId="2" fillId="0" borderId="9" xfId="0" applyNumberFormat="1" applyFont="1" applyBorder="1" applyAlignment="1">
      <alignment horizontal="center" vertical="center" wrapText="1"/>
    </xf>
    <xf numFmtId="1" fontId="2" fillId="0" borderId="10" xfId="0" applyNumberFormat="1" applyFont="1" applyBorder="1" applyAlignment="1">
      <alignment horizontal="center" vertical="center" wrapText="1"/>
    </xf>
    <xf numFmtId="1" fontId="2" fillId="0" borderId="11" xfId="0" applyNumberFormat="1" applyFont="1" applyBorder="1" applyAlignment="1">
      <alignment horizontal="center" vertical="center" wrapText="1"/>
    </xf>
    <xf numFmtId="0" fontId="2" fillId="0" borderId="26"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7" xfId="0" applyFont="1" applyBorder="1" applyAlignment="1">
      <alignment horizontal="center" vertical="center" wrapText="1"/>
    </xf>
    <xf numFmtId="0" fontId="2" fillId="0" borderId="2" xfId="0" applyFont="1" applyBorder="1" applyAlignment="1">
      <alignment horizontal="center" vertical="center" wrapText="1"/>
    </xf>
    <xf numFmtId="0" fontId="2" fillId="0" borderId="0" xfId="0" applyFont="1" applyAlignment="1">
      <alignment horizontal="center" vertical="center" wrapText="1"/>
    </xf>
    <xf numFmtId="0" fontId="2" fillId="0" borderId="23"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5" fillId="0" borderId="0" xfId="0" applyFont="1" applyAlignment="1">
      <alignment horizontal="left"/>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5" fillId="0" borderId="19" xfId="0" applyFont="1" applyBorder="1" applyAlignment="1">
      <alignment horizontal="left"/>
    </xf>
    <xf numFmtId="164" fontId="5" fillId="0" borderId="16" xfId="0" applyNumberFormat="1" applyFont="1" applyBorder="1" applyAlignment="1">
      <alignment horizontal="center"/>
    </xf>
    <xf numFmtId="164" fontId="5" fillId="0" borderId="17" xfId="0" applyNumberFormat="1" applyFont="1" applyBorder="1" applyAlignment="1">
      <alignment horizontal="center"/>
    </xf>
    <xf numFmtId="0" fontId="5" fillId="0" borderId="17" xfId="0" applyFont="1" applyBorder="1" applyAlignment="1">
      <alignment horizontal="center"/>
    </xf>
    <xf numFmtId="0" fontId="5" fillId="0" borderId="18" xfId="0" applyFont="1" applyBorder="1" applyAlignment="1">
      <alignment horizontal="center"/>
    </xf>
    <xf numFmtId="164" fontId="5" fillId="0" borderId="16" xfId="0" applyNumberFormat="1" applyFont="1" applyBorder="1" applyAlignment="1">
      <alignment horizontal="center" vertical="center" wrapText="1"/>
    </xf>
    <xf numFmtId="164" fontId="5" fillId="0" borderId="17" xfId="0" applyNumberFormat="1" applyFont="1" applyBorder="1" applyAlignment="1">
      <alignment horizontal="center" vertical="center" wrapText="1"/>
    </xf>
    <xf numFmtId="164" fontId="5" fillId="0" borderId="18" xfId="0" applyNumberFormat="1" applyFont="1" applyBorder="1" applyAlignment="1">
      <alignment horizontal="center" vertical="center" wrapText="1"/>
    </xf>
    <xf numFmtId="0" fontId="7" fillId="4" borderId="0" xfId="0" applyFont="1" applyFill="1" applyAlignment="1">
      <alignment horizontal="center" vertical="center"/>
    </xf>
    <xf numFmtId="49" fontId="5" fillId="0" borderId="0" xfId="0" applyNumberFormat="1" applyFont="1" applyAlignment="1">
      <alignment horizontal="left"/>
    </xf>
    <xf numFmtId="0" fontId="7" fillId="0" borderId="19" xfId="0" applyFont="1" applyBorder="1" applyAlignment="1">
      <alignment horizontal="center"/>
    </xf>
    <xf numFmtId="0" fontId="7" fillId="0" borderId="18" xfId="0" applyFont="1" applyBorder="1" applyAlignment="1">
      <alignment horizontal="center" vertical="center"/>
    </xf>
    <xf numFmtId="1" fontId="5" fillId="0" borderId="16" xfId="0" applyNumberFormat="1" applyFont="1" applyBorder="1" applyAlignment="1">
      <alignment horizontal="center" vertical="center"/>
    </xf>
    <xf numFmtId="0" fontId="5" fillId="0" borderId="17" xfId="0" applyFont="1" applyBorder="1" applyAlignment="1">
      <alignment horizontal="center" vertical="center"/>
    </xf>
    <xf numFmtId="0" fontId="5" fillId="0" borderId="16" xfId="0" applyFont="1" applyBorder="1" applyAlignment="1">
      <alignment horizontal="center" vertical="center"/>
    </xf>
    <xf numFmtId="0" fontId="5" fillId="0" borderId="18" xfId="0" applyFont="1" applyBorder="1" applyAlignment="1">
      <alignment horizontal="center" vertical="center"/>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9" xfId="0" applyFont="1" applyBorder="1" applyAlignment="1">
      <alignment horizontal="center" vertical="center"/>
    </xf>
    <xf numFmtId="0" fontId="5" fillId="0" borderId="19" xfId="0" applyFont="1" applyBorder="1" applyAlignment="1">
      <alignment horizontal="center" vertical="center"/>
    </xf>
    <xf numFmtId="1" fontId="5" fillId="0" borderId="16" xfId="0" applyNumberFormat="1" applyFont="1" applyBorder="1" applyAlignment="1">
      <alignment horizontal="center" vertical="center" wrapText="1"/>
    </xf>
    <xf numFmtId="1" fontId="5" fillId="0" borderId="17" xfId="0" applyNumberFormat="1" applyFont="1" applyBorder="1" applyAlignment="1">
      <alignment horizontal="center" vertical="center" wrapText="1"/>
    </xf>
    <xf numFmtId="1" fontId="5" fillId="0" borderId="18" xfId="0" applyNumberFormat="1" applyFont="1" applyBorder="1" applyAlignment="1">
      <alignment horizontal="center" vertical="center" wrapText="1"/>
    </xf>
    <xf numFmtId="0" fontId="5" fillId="0" borderId="9" xfId="0" applyFont="1" applyBorder="1" applyAlignment="1">
      <alignment horizontal="left" vertical="center"/>
    </xf>
    <xf numFmtId="0" fontId="5" fillId="0" borderId="10" xfId="0" applyFont="1" applyBorder="1" applyAlignment="1">
      <alignment horizontal="left" vertical="center"/>
    </xf>
    <xf numFmtId="0" fontId="5" fillId="0" borderId="16" xfId="0" applyFont="1" applyBorder="1" applyAlignment="1">
      <alignment horizontal="center"/>
    </xf>
    <xf numFmtId="0" fontId="5" fillId="0" borderId="16"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8" xfId="0" applyFont="1" applyBorder="1" applyAlignment="1">
      <alignment horizontal="center" vertical="center" wrapText="1"/>
    </xf>
    <xf numFmtId="0" fontId="3" fillId="0" borderId="16" xfId="0" applyFont="1" applyBorder="1" applyAlignment="1">
      <alignment horizontal="center"/>
    </xf>
    <xf numFmtId="0" fontId="3" fillId="0" borderId="17" xfId="0" applyFont="1" applyBorder="1" applyAlignment="1">
      <alignment horizontal="center"/>
    </xf>
    <xf numFmtId="0" fontId="3" fillId="0" borderId="18" xfId="0" applyFont="1" applyBorder="1" applyAlignment="1">
      <alignment horizontal="center"/>
    </xf>
    <xf numFmtId="0" fontId="3" fillId="0" borderId="19" xfId="0" applyFont="1" applyBorder="1" applyAlignment="1">
      <alignment horizontal="center"/>
    </xf>
    <xf numFmtId="1" fontId="2" fillId="0" borderId="20" xfId="0" applyNumberFormat="1" applyFont="1" applyBorder="1" applyAlignment="1">
      <alignment horizontal="center" vertical="center" wrapText="1"/>
    </xf>
    <xf numFmtId="1" fontId="2" fillId="0" borderId="21" xfId="0" applyNumberFormat="1" applyFont="1" applyBorder="1" applyAlignment="1">
      <alignment horizontal="center" vertical="center" wrapText="1"/>
    </xf>
    <xf numFmtId="1" fontId="2" fillId="0" borderId="22" xfId="0" applyNumberFormat="1" applyFont="1" applyBorder="1" applyAlignment="1">
      <alignment horizontal="center" vertical="center" wrapText="1"/>
    </xf>
    <xf numFmtId="164" fontId="2" fillId="0" borderId="20" xfId="0" applyNumberFormat="1" applyFont="1" applyBorder="1" applyAlignment="1">
      <alignment horizontal="center" vertical="center" wrapText="1"/>
    </xf>
    <xf numFmtId="164" fontId="2" fillId="0" borderId="21" xfId="0" applyNumberFormat="1" applyFont="1" applyBorder="1" applyAlignment="1">
      <alignment horizontal="center" vertical="center" wrapText="1"/>
    </xf>
    <xf numFmtId="164" fontId="2" fillId="0" borderId="22" xfId="0" applyNumberFormat="1" applyFont="1" applyBorder="1" applyAlignment="1">
      <alignment horizontal="center" vertical="center" wrapText="1"/>
    </xf>
    <xf numFmtId="164" fontId="2" fillId="0" borderId="2" xfId="0" applyNumberFormat="1" applyFont="1" applyBorder="1" applyAlignment="1">
      <alignment horizontal="center" vertical="center" wrapText="1"/>
    </xf>
    <xf numFmtId="164" fontId="2" fillId="0" borderId="0" xfId="0" applyNumberFormat="1" applyFont="1" applyAlignment="1">
      <alignment horizontal="center" vertical="center" wrapText="1"/>
    </xf>
    <xf numFmtId="164" fontId="2" fillId="0" borderId="23" xfId="0" applyNumberFormat="1" applyFont="1" applyBorder="1" applyAlignment="1">
      <alignment horizontal="center" vertical="center" wrapText="1"/>
    </xf>
    <xf numFmtId="1" fontId="2" fillId="0" borderId="17" xfId="0" applyNumberFormat="1" applyFont="1" applyBorder="1" applyAlignment="1">
      <alignment horizontal="center" vertical="center"/>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2" fontId="2" fillId="0" borderId="16" xfId="0" applyNumberFormat="1" applyFont="1" applyBorder="1" applyAlignment="1">
      <alignment horizontal="center" vertical="center" wrapText="1"/>
    </xf>
    <xf numFmtId="2" fontId="2" fillId="0" borderId="17" xfId="0" applyNumberFormat="1" applyFont="1" applyBorder="1" applyAlignment="1">
      <alignment horizontal="center" vertical="center" wrapText="1"/>
    </xf>
    <xf numFmtId="2" fontId="2" fillId="0" borderId="18" xfId="0" applyNumberFormat="1" applyFont="1" applyBorder="1" applyAlignment="1">
      <alignment horizontal="center" vertical="center" wrapText="1"/>
    </xf>
    <xf numFmtId="164" fontId="2" fillId="0" borderId="16" xfId="0" applyNumberFormat="1" applyFont="1" applyBorder="1" applyAlignment="1">
      <alignment horizontal="center" vertical="center" wrapText="1"/>
    </xf>
    <xf numFmtId="164" fontId="2" fillId="0" borderId="17" xfId="0" applyNumberFormat="1" applyFont="1" applyBorder="1" applyAlignment="1">
      <alignment horizontal="center" vertical="center" wrapText="1"/>
    </xf>
    <xf numFmtId="1" fontId="2" fillId="0" borderId="16" xfId="0" applyNumberFormat="1" applyFont="1" applyBorder="1" applyAlignment="1">
      <alignment horizontal="center" vertical="center"/>
    </xf>
    <xf numFmtId="1" fontId="2" fillId="0" borderId="18" xfId="0" applyNumberFormat="1" applyFont="1" applyBorder="1" applyAlignment="1">
      <alignment horizontal="center" vertical="center"/>
    </xf>
    <xf numFmtId="164" fontId="2" fillId="0" borderId="16" xfId="0" applyNumberFormat="1" applyFont="1" applyBorder="1" applyAlignment="1">
      <alignment horizontal="center" vertical="center"/>
    </xf>
    <xf numFmtId="164" fontId="2" fillId="0" borderId="17" xfId="0" applyNumberFormat="1" applyFont="1" applyBorder="1" applyAlignment="1">
      <alignment horizontal="center" vertical="center"/>
    </xf>
    <xf numFmtId="164" fontId="2" fillId="0" borderId="18" xfId="0" applyNumberFormat="1" applyFont="1" applyBorder="1" applyAlignment="1">
      <alignment horizontal="center" vertical="center"/>
    </xf>
    <xf numFmtId="2" fontId="2" fillId="0" borderId="16" xfId="0" applyNumberFormat="1" applyFont="1" applyBorder="1" applyAlignment="1">
      <alignment horizontal="left" vertical="center" wrapText="1"/>
    </xf>
    <xf numFmtId="2" fontId="2" fillId="0" borderId="17" xfId="0" applyNumberFormat="1" applyFont="1" applyBorder="1" applyAlignment="1">
      <alignment horizontal="left" vertical="center" wrapText="1"/>
    </xf>
    <xf numFmtId="2" fontId="2" fillId="0" borderId="18" xfId="0" applyNumberFormat="1" applyFont="1" applyBorder="1" applyAlignment="1">
      <alignment horizontal="left" vertical="center" wrapText="1"/>
    </xf>
    <xf numFmtId="1" fontId="5" fillId="0" borderId="0" xfId="1" applyNumberFormat="1" applyFont="1" applyBorder="1" applyAlignment="1">
      <alignment horizontal="center"/>
    </xf>
    <xf numFmtId="0" fontId="5" fillId="0" borderId="0" xfId="0" applyFont="1" applyAlignment="1">
      <alignment horizontal="center" vertical="center"/>
    </xf>
    <xf numFmtId="164" fontId="2" fillId="0" borderId="0" xfId="0" applyNumberFormat="1" applyFont="1" applyAlignment="1">
      <alignment horizontal="center"/>
    </xf>
    <xf numFmtId="0" fontId="5" fillId="0" borderId="16" xfId="0" applyFont="1" applyBorder="1" applyAlignment="1">
      <alignment horizontal="left" vertical="center" wrapText="1"/>
    </xf>
    <xf numFmtId="0" fontId="5" fillId="0" borderId="17" xfId="0" applyFont="1" applyBorder="1" applyAlignment="1">
      <alignment horizontal="left" vertical="center" wrapText="1"/>
    </xf>
    <xf numFmtId="0" fontId="5" fillId="0" borderId="18" xfId="0" applyFont="1" applyBorder="1" applyAlignment="1">
      <alignment horizontal="left" vertical="center" wrapText="1"/>
    </xf>
    <xf numFmtId="164" fontId="5" fillId="0" borderId="16" xfId="0" applyNumberFormat="1" applyFont="1" applyBorder="1" applyAlignment="1">
      <alignment horizontal="left" vertical="center" wrapText="1"/>
    </xf>
    <xf numFmtId="164" fontId="5" fillId="0" borderId="17" xfId="0" applyNumberFormat="1" applyFont="1" applyBorder="1" applyAlignment="1">
      <alignment horizontal="left" vertical="center" wrapText="1"/>
    </xf>
    <xf numFmtId="164" fontId="5" fillId="0" borderId="18" xfId="0" applyNumberFormat="1" applyFont="1" applyBorder="1" applyAlignment="1">
      <alignment horizontal="left" vertical="center" wrapText="1"/>
    </xf>
    <xf numFmtId="1" fontId="5"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2" xfId="0" applyFont="1" applyBorder="1" applyAlignment="1">
      <alignment horizontal="center" vertical="center"/>
    </xf>
    <xf numFmtId="0" fontId="5" fillId="5" borderId="19" xfId="0" applyFont="1" applyFill="1" applyBorder="1" applyAlignment="1">
      <alignment horizontal="center" vertical="center" wrapText="1"/>
    </xf>
    <xf numFmtId="0" fontId="7" fillId="6" borderId="19" xfId="0" applyFont="1" applyFill="1" applyBorder="1" applyAlignment="1">
      <alignment horizontal="center" vertical="center" wrapText="1"/>
    </xf>
    <xf numFmtId="0" fontId="23" fillId="4" borderId="20" xfId="0" applyFont="1" applyFill="1" applyBorder="1" applyAlignment="1">
      <alignment horizontal="center"/>
    </xf>
    <xf numFmtId="0" fontId="23" fillId="4" borderId="21" xfId="0" applyFont="1" applyFill="1" applyBorder="1" applyAlignment="1">
      <alignment horizontal="center"/>
    </xf>
    <xf numFmtId="0" fontId="23" fillId="4" borderId="22" xfId="0" applyFont="1" applyFill="1" applyBorder="1" applyAlignment="1">
      <alignment horizontal="center"/>
    </xf>
    <xf numFmtId="0" fontId="23" fillId="4" borderId="2" xfId="0" applyFont="1" applyFill="1" applyBorder="1" applyAlignment="1">
      <alignment horizontal="center"/>
    </xf>
    <xf numFmtId="0" fontId="23" fillId="4" borderId="0" xfId="0" applyFont="1" applyFill="1" applyAlignment="1">
      <alignment horizontal="center"/>
    </xf>
    <xf numFmtId="0" fontId="23" fillId="4" borderId="23" xfId="0" applyFont="1" applyFill="1" applyBorder="1" applyAlignment="1">
      <alignment horizontal="center"/>
    </xf>
    <xf numFmtId="0" fontId="25" fillId="10" borderId="0" xfId="0" applyFont="1" applyFill="1" applyAlignment="1">
      <alignment horizontal="center" vertical="center"/>
    </xf>
    <xf numFmtId="0" fontId="25" fillId="2" borderId="0" xfId="0" applyFont="1" applyFill="1" applyAlignment="1">
      <alignment horizontal="center" vertical="center"/>
    </xf>
    <xf numFmtId="0" fontId="23" fillId="7" borderId="0" xfId="0" applyFont="1" applyFill="1" applyAlignment="1">
      <alignment horizontal="center"/>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2" fillId="0" borderId="12" xfId="0" applyFont="1" applyBorder="1" applyAlignment="1">
      <alignment horizontal="left" vertical="center"/>
    </xf>
    <xf numFmtId="0" fontId="7" fillId="0" borderId="5" xfId="0" applyFont="1" applyBorder="1" applyAlignment="1">
      <alignment horizontal="center" vertical="center"/>
    </xf>
    <xf numFmtId="1" fontId="5" fillId="0" borderId="12" xfId="0" applyNumberFormat="1" applyFont="1" applyBorder="1" applyAlignment="1">
      <alignment horizontal="center" vertical="center" wrapText="1"/>
    </xf>
    <xf numFmtId="164" fontId="5" fillId="0" borderId="12" xfId="0" applyNumberFormat="1" applyFont="1" applyBorder="1" applyAlignment="1">
      <alignment horizontal="center" vertical="center" wrapText="1"/>
    </xf>
    <xf numFmtId="164" fontId="5" fillId="0" borderId="12" xfId="0" applyNumberFormat="1" applyFont="1" applyBorder="1" applyAlignment="1">
      <alignment horizontal="center"/>
    </xf>
    <xf numFmtId="0" fontId="5" fillId="0" borderId="12" xfId="0" applyFont="1" applyBorder="1" applyAlignment="1">
      <alignment horizontal="center" vertical="center" wrapText="1"/>
    </xf>
    <xf numFmtId="2" fontId="2" fillId="0" borderId="19" xfId="0" applyNumberFormat="1" applyFont="1" applyBorder="1" applyAlignment="1">
      <alignment horizontal="left" vertical="center"/>
    </xf>
    <xf numFmtId="0" fontId="2" fillId="0" borderId="19" xfId="0" applyFont="1" applyBorder="1" applyAlignment="1">
      <alignment horizontal="left" vertical="center"/>
    </xf>
    <xf numFmtId="1" fontId="2" fillId="0" borderId="9" xfId="0" applyNumberFormat="1" applyFont="1" applyBorder="1" applyAlignment="1">
      <alignment horizontal="center" vertical="center"/>
    </xf>
    <xf numFmtId="1" fontId="2" fillId="0" borderId="10" xfId="0" applyNumberFormat="1" applyFont="1" applyBorder="1" applyAlignment="1">
      <alignment horizontal="center" vertical="center"/>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49" fontId="5" fillId="2" borderId="19" xfId="0" applyNumberFormat="1" applyFont="1" applyFill="1" applyBorder="1" applyAlignment="1">
      <alignment vertical="center"/>
    </xf>
    <xf numFmtId="49" fontId="5" fillId="2" borderId="16" xfId="0" applyNumberFormat="1" applyFont="1" applyFill="1" applyBorder="1" applyAlignment="1">
      <alignment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49" fontId="5" fillId="2" borderId="19" xfId="0" applyNumberFormat="1" applyFont="1" applyFill="1" applyBorder="1" applyAlignment="1">
      <alignment horizontal="left" vertical="center"/>
    </xf>
    <xf numFmtId="0" fontId="5" fillId="2" borderId="19" xfId="0" applyFont="1" applyFill="1" applyBorder="1" applyAlignment="1">
      <alignment horizontal="left" vertical="center"/>
    </xf>
    <xf numFmtId="0" fontId="5" fillId="2" borderId="17" xfId="0" applyFont="1" applyFill="1" applyBorder="1" applyAlignment="1">
      <alignment horizontal="center" vertical="center"/>
    </xf>
    <xf numFmtId="0" fontId="5" fillId="2" borderId="19" xfId="0" applyFont="1" applyFill="1" applyBorder="1" applyAlignment="1">
      <alignment vertical="center"/>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1" xfId="0" applyFont="1" applyFill="1" applyBorder="1" applyAlignment="1">
      <alignment horizontal="center" vertical="center"/>
    </xf>
    <xf numFmtId="1" fontId="2" fillId="2" borderId="9" xfId="0" applyNumberFormat="1" applyFont="1" applyFill="1" applyBorder="1" applyAlignment="1">
      <alignment horizontal="left" vertical="center"/>
    </xf>
    <xf numFmtId="1" fontId="2" fillId="2" borderId="10" xfId="0" applyNumberFormat="1" applyFont="1" applyFill="1" applyBorder="1" applyAlignment="1">
      <alignment horizontal="left" vertical="center"/>
    </xf>
    <xf numFmtId="1" fontId="2" fillId="2" borderId="11" xfId="0" applyNumberFormat="1" applyFont="1" applyFill="1" applyBorder="1" applyAlignment="1">
      <alignment horizontal="left" vertical="center"/>
    </xf>
    <xf numFmtId="0" fontId="5" fillId="0" borderId="0" xfId="0" applyFont="1" applyAlignment="1">
      <alignment horizontal="left" vertical="center"/>
    </xf>
    <xf numFmtId="166" fontId="2" fillId="0" borderId="9" xfId="0" applyNumberFormat="1" applyFont="1" applyBorder="1" applyAlignment="1">
      <alignment horizontal="center" vertical="center"/>
    </xf>
    <xf numFmtId="166" fontId="2" fillId="0" borderId="10" xfId="0" applyNumberFormat="1" applyFont="1" applyBorder="1" applyAlignment="1">
      <alignment horizontal="center" vertical="center"/>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164" fontId="2" fillId="0" borderId="9" xfId="0" applyNumberFormat="1" applyFont="1" applyBorder="1" applyAlignment="1">
      <alignment horizontal="center" vertical="center"/>
    </xf>
    <xf numFmtId="164" fontId="2" fillId="0" borderId="10" xfId="0" applyNumberFormat="1" applyFont="1" applyBorder="1" applyAlignment="1">
      <alignment horizontal="center" vertical="center"/>
    </xf>
    <xf numFmtId="0" fontId="2" fillId="0" borderId="0" xfId="0" applyFont="1" applyAlignment="1">
      <alignment horizontal="left" vertical="center" wrapText="1"/>
    </xf>
    <xf numFmtId="49" fontId="2" fillId="0" borderId="0" xfId="2" applyNumberFormat="1" applyFont="1" applyAlignment="1">
      <alignment horizontal="center" vertical="center"/>
    </xf>
    <xf numFmtId="0" fontId="7" fillId="0" borderId="4" xfId="0" applyFont="1" applyBorder="1" applyAlignment="1">
      <alignment horizontal="center" vertical="center"/>
    </xf>
    <xf numFmtId="0" fontId="7" fillId="0" borderId="3" xfId="0" applyFont="1" applyBorder="1" applyAlignment="1">
      <alignment horizontal="center" vertical="center"/>
    </xf>
    <xf numFmtId="0" fontId="7" fillId="0" borderId="29" xfId="0" applyFont="1" applyBorder="1" applyAlignment="1">
      <alignment horizontal="center" vertical="center"/>
    </xf>
    <xf numFmtId="0" fontId="7" fillId="9" borderId="0" xfId="0" applyFont="1" applyFill="1" applyAlignment="1">
      <alignment horizontal="center" vertical="center"/>
    </xf>
    <xf numFmtId="165" fontId="5" fillId="0" borderId="0" xfId="0" applyNumberFormat="1" applyFont="1" applyAlignment="1">
      <alignment horizontal="left"/>
    </xf>
    <xf numFmtId="0" fontId="7" fillId="3" borderId="19" xfId="0" applyFont="1" applyFill="1" applyBorder="1" applyAlignment="1">
      <alignment horizontal="center" vertical="center" wrapText="1"/>
    </xf>
    <xf numFmtId="0" fontId="7" fillId="7" borderId="16" xfId="0" applyFont="1" applyFill="1" applyBorder="1" applyAlignment="1">
      <alignment horizontal="center" vertical="center" wrapText="1"/>
    </xf>
    <xf numFmtId="0" fontId="7" fillId="7" borderId="18" xfId="0" applyFont="1" applyFill="1" applyBorder="1" applyAlignment="1">
      <alignment horizontal="center" vertical="center" wrapText="1"/>
    </xf>
    <xf numFmtId="0" fontId="7" fillId="7" borderId="19" xfId="0" applyFont="1" applyFill="1" applyBorder="1" applyAlignment="1">
      <alignment horizontal="center" vertical="center" wrapText="1"/>
    </xf>
    <xf numFmtId="1" fontId="5" fillId="0" borderId="20" xfId="0" applyNumberFormat="1" applyFont="1" applyBorder="1" applyAlignment="1">
      <alignment horizontal="center" vertical="center"/>
    </xf>
    <xf numFmtId="1" fontId="5" fillId="0" borderId="22" xfId="0" applyNumberFormat="1" applyFont="1" applyBorder="1" applyAlignment="1">
      <alignment horizontal="center" vertical="center"/>
    </xf>
    <xf numFmtId="1" fontId="5" fillId="0" borderId="2" xfId="0" applyNumberFormat="1" applyFont="1" applyBorder="1" applyAlignment="1">
      <alignment horizontal="center" vertical="center"/>
    </xf>
    <xf numFmtId="1" fontId="5" fillId="0" borderId="23" xfId="0" applyNumberFormat="1" applyFont="1" applyBorder="1" applyAlignment="1">
      <alignment horizontal="center" vertical="center"/>
    </xf>
    <xf numFmtId="1" fontId="5" fillId="0" borderId="9" xfId="0" applyNumberFormat="1" applyFont="1" applyBorder="1" applyAlignment="1">
      <alignment horizontal="center" vertical="center"/>
    </xf>
    <xf numFmtId="1" fontId="5" fillId="0" borderId="11" xfId="0" applyNumberFormat="1" applyFont="1" applyBorder="1" applyAlignment="1">
      <alignment horizontal="center" vertical="center"/>
    </xf>
    <xf numFmtId="2" fontId="5" fillId="0" borderId="20" xfId="0" applyNumberFormat="1" applyFont="1" applyBorder="1" applyAlignment="1">
      <alignment horizontal="center" vertical="center"/>
    </xf>
    <xf numFmtId="2" fontId="5" fillId="0" borderId="2" xfId="0" applyNumberFormat="1" applyFont="1" applyBorder="1" applyAlignment="1">
      <alignment horizontal="center" vertical="center"/>
    </xf>
    <xf numFmtId="2" fontId="5" fillId="0" borderId="9" xfId="0" applyNumberFormat="1" applyFont="1" applyBorder="1" applyAlignment="1">
      <alignment horizontal="center" vertical="center"/>
    </xf>
    <xf numFmtId="0" fontId="5" fillId="0" borderId="19" xfId="0" applyFont="1" applyBorder="1" applyAlignment="1">
      <alignment horizontal="center" vertical="center" wrapText="1"/>
    </xf>
    <xf numFmtId="2" fontId="5" fillId="0" borderId="25" xfId="0" applyNumberFormat="1" applyFont="1" applyBorder="1" applyAlignment="1">
      <alignment horizontal="center" vertical="center"/>
    </xf>
    <xf numFmtId="2" fontId="5" fillId="0" borderId="24" xfId="0" applyNumberFormat="1" applyFont="1" applyBorder="1" applyAlignment="1">
      <alignment horizontal="center" vertical="center"/>
    </xf>
    <xf numFmtId="2" fontId="5" fillId="0" borderId="12" xfId="0" applyNumberFormat="1" applyFont="1" applyBorder="1" applyAlignment="1">
      <alignment horizontal="center" vertical="center"/>
    </xf>
    <xf numFmtId="164" fontId="5" fillId="0" borderId="25" xfId="0" applyNumberFormat="1" applyFont="1" applyBorder="1" applyAlignment="1">
      <alignment horizontal="center" vertical="center"/>
    </xf>
    <xf numFmtId="164" fontId="5" fillId="0" borderId="24" xfId="0" applyNumberFormat="1" applyFont="1" applyBorder="1" applyAlignment="1">
      <alignment horizontal="center" vertical="center"/>
    </xf>
    <xf numFmtId="164" fontId="5" fillId="0" borderId="12" xfId="0" applyNumberFormat="1" applyFont="1" applyBorder="1" applyAlignment="1">
      <alignment horizontal="center" vertical="center"/>
    </xf>
    <xf numFmtId="0" fontId="10" fillId="0" borderId="0" xfId="0" applyFont="1" applyAlignment="1">
      <alignment horizontal="center" vertical="center"/>
    </xf>
    <xf numFmtId="0" fontId="7" fillId="7" borderId="10" xfId="0" applyFont="1" applyFill="1" applyBorder="1" applyAlignment="1">
      <alignment horizontal="center"/>
    </xf>
    <xf numFmtId="0" fontId="10" fillId="0" borderId="0" xfId="0" applyFont="1" applyAlignment="1">
      <alignment horizontal="center"/>
    </xf>
    <xf numFmtId="0" fontId="7" fillId="7" borderId="20" xfId="0" applyFont="1" applyFill="1" applyBorder="1" applyAlignment="1">
      <alignment horizontal="center" vertical="center"/>
    </xf>
    <xf numFmtId="0" fontId="7" fillId="7" borderId="22" xfId="0" applyFont="1" applyFill="1" applyBorder="1" applyAlignment="1">
      <alignment horizontal="center" vertical="center"/>
    </xf>
    <xf numFmtId="0" fontId="7" fillId="7" borderId="20" xfId="0" applyFont="1" applyFill="1" applyBorder="1" applyAlignment="1">
      <alignment horizontal="center" vertical="center" wrapText="1"/>
    </xf>
    <xf numFmtId="0" fontId="7" fillId="7" borderId="22" xfId="0" applyFont="1" applyFill="1" applyBorder="1" applyAlignment="1">
      <alignment horizontal="center" vertical="center" wrapText="1"/>
    </xf>
    <xf numFmtId="0" fontId="7" fillId="7" borderId="25" xfId="0" applyFont="1" applyFill="1" applyBorder="1" applyAlignment="1">
      <alignment horizontal="center" vertical="center" wrapText="1"/>
    </xf>
    <xf numFmtId="0" fontId="7" fillId="0" borderId="16" xfId="0" applyFont="1" applyBorder="1" applyAlignment="1">
      <alignment horizontal="center" vertical="top" wrapText="1"/>
    </xf>
    <xf numFmtId="0" fontId="7" fillId="0" borderId="17" xfId="0" applyFont="1" applyBorder="1" applyAlignment="1">
      <alignment horizontal="center" vertical="top" wrapText="1"/>
    </xf>
    <xf numFmtId="0" fontId="2" fillId="0" borderId="0" xfId="0" applyFont="1" applyAlignment="1">
      <alignment horizontal="left" vertical="top" wrapText="1"/>
    </xf>
    <xf numFmtId="0" fontId="5" fillId="0" borderId="3" xfId="0" applyFont="1" applyBorder="1" applyAlignment="1">
      <alignment horizontal="left" vertical="center"/>
    </xf>
  </cellXfs>
  <cellStyles count="5">
    <cellStyle name="Comma [0] 3" xfId="3" xr:uid="{FEF4594C-556F-424B-86BF-CE832A9791E7}"/>
    <cellStyle name="Hyperlink" xfId="4" builtinId="8"/>
    <cellStyle name="Normal" xfId="0" builtinId="0"/>
    <cellStyle name="Normal 2 2 3" xfId="2" xr:uid="{93D9E208-0240-4387-9EA0-921CFF844163}"/>
    <cellStyle name="Percent" xfId="1" builtinId="5"/>
  </cellStyles>
  <dxfs count="4">
    <dxf>
      <font>
        <color rgb="FF9C0006"/>
      </font>
      <fill>
        <patternFill>
          <bgColor rgb="FFFFC7CE"/>
        </patternFill>
      </fill>
    </dxf>
    <dxf>
      <font>
        <color theme="0"/>
      </font>
      <fill>
        <patternFill>
          <bgColor rgb="FFFF0000"/>
        </patternFill>
      </fill>
    </dxf>
    <dxf>
      <font>
        <color rgb="FF006100"/>
      </font>
      <fill>
        <patternFill>
          <bgColor rgb="FFC6EFCE"/>
        </patternFill>
      </fill>
    </dxf>
    <dxf>
      <font>
        <color theme="0"/>
      </font>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34496</xdr:colOff>
      <xdr:row>0</xdr:row>
      <xdr:rowOff>121379</xdr:rowOff>
    </xdr:from>
    <xdr:to>
      <xdr:col>5</xdr:col>
      <xdr:colOff>208847</xdr:colOff>
      <xdr:row>3</xdr:row>
      <xdr:rowOff>76670</xdr:rowOff>
    </xdr:to>
    <xdr:pic>
      <xdr:nvPicPr>
        <xdr:cNvPr id="2" name="Picture 1">
          <a:extLst>
            <a:ext uri="{FF2B5EF4-FFF2-40B4-BE49-F238E27FC236}">
              <a16:creationId xmlns:a16="http://schemas.microsoft.com/office/drawing/2014/main" id="{031BC2E6-DBEA-461D-8DE8-CD40493B54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8960" y="121379"/>
          <a:ext cx="936351" cy="56761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ynology%20-%20Rena/Penilaian%20Mandiri/Fahyan/Medquest/LEMBAR%20KERJA%20ELEKTRONIK/001-1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ynologyDrive%20-%20Rena/05%20Admin/2026/05260046%20RSU%20FASTABIQ%20SEHAT%20PKU%20MUHAMMADIYAH%20PATI/LK%20RSU%20FASTABIQ%20TGL%2019/19%20MEI%20MARSHEL/Laboratorium_01-017%20CENTRIFUGE_50202189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hegar/Desktop/Sample%20LK%20CMC/LK-015%20CENTRIFUGE%20REV.1%20sample.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kumen%20Kerja/Master%20Input%20Reference/Latihan_Master_Laporan_Centrifuge_Rev_Edisi_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MBAR KERJA"/>
      <sheetName val="PENGOLAHAN DATA"/>
      <sheetName val="KETIDAKPASTIAN"/>
      <sheetName val="LAPORAN HASIL"/>
      <sheetName val="SERT. DATA LOGGER"/>
      <sheetName val="SERT. ESA"/>
      <sheetName val="SERT. THERMOHYGROMETER"/>
    </sheetNames>
    <sheetDataSet>
      <sheetData sheetId="0"/>
      <sheetData sheetId="1">
        <row r="3">
          <cell r="A3" t="str">
            <v>AUTOCLAVE</v>
          </cell>
        </row>
        <row r="48">
          <cell r="X48">
            <v>0</v>
          </cell>
        </row>
      </sheetData>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MBAR KERJA"/>
      <sheetName val="PENGOLAHAN DATA"/>
      <sheetName val="KETIDAKPASTIAN"/>
      <sheetName val="LAPORAN HASIL"/>
      <sheetName val="SERTIFIKAT TACHOMETER"/>
      <sheetName val="SERTIFIKAT STOPWATCH"/>
      <sheetName val="SERTIFIKAT THERMOHYGROMETER"/>
      <sheetName val="SERTIFIKAT ESA"/>
    </sheetNames>
    <sheetDataSet>
      <sheetData sheetId="0" refreshError="1"/>
      <sheetData sheetId="1"/>
      <sheetData sheetId="2" refreshError="1"/>
      <sheetData sheetId="3" refreshError="1"/>
      <sheetData sheetId="4" refreshError="1"/>
      <sheetData sheetId="5"/>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MBAR KERJA"/>
      <sheetName val="PENGOLAHAN DATA"/>
      <sheetName val="KETIDAKPASTIAN"/>
      <sheetName val="LAPORAN HASIL"/>
      <sheetName val="SERTIFIKAT TACHOMETER"/>
      <sheetName val="SERTIFIKAT DIGITAL TACHOMETER"/>
      <sheetName val="SERTIFIKAT STOPWATCH"/>
      <sheetName val="SERTIFIKAT ESA"/>
      <sheetName val="SERTIFIKAT THERMOHYGROMETER"/>
    </sheetNames>
    <sheetDataSet>
      <sheetData sheetId="0" refreshError="1"/>
      <sheetData sheetId="1" refreshError="1">
        <row r="3">
          <cell r="A3" t="str">
            <v>CENTRIFUGE</v>
          </cell>
        </row>
        <row r="38">
          <cell r="C38" t="str">
            <v>Parameter</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TAK LK"/>
      <sheetName val="INPUT DATA"/>
      <sheetName val="SKORSING"/>
      <sheetName val="UNCERTAINTY"/>
      <sheetName val="LAPORAN"/>
      <sheetName val="LAPORAN &quot;STEP&quot;"/>
      <sheetName val="Sert. Tachometer"/>
      <sheetName val="Sert. ESA"/>
      <sheetName val="Sert. Thermohygro"/>
      <sheetName val="Sert. Timer"/>
      <sheetName val="Sheet8"/>
      <sheetName val="Sheet2"/>
    </sheetNames>
    <sheetDataSet>
      <sheetData sheetId="0" refreshError="1"/>
      <sheetData sheetId="1" refreshError="1"/>
      <sheetData sheetId="2" refreshError="1"/>
      <sheetData sheetId="3" refreshError="1"/>
      <sheetData sheetId="4" refreshError="1"/>
      <sheetData sheetId="5" refreshError="1"/>
      <sheetData sheetId="6" refreshError="1">
        <row r="1">
          <cell r="A1" t="str">
            <v xml:space="preserve">HASIL REKALIBRASI </v>
          </cell>
          <cell r="B1">
            <v>0</v>
          </cell>
          <cell r="C1">
            <v>0</v>
          </cell>
          <cell r="D1">
            <v>0</v>
          </cell>
          <cell r="E1">
            <v>0</v>
          </cell>
        </row>
      </sheetData>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F323B-E6F5-4C04-8672-46243E05817C}">
  <dimension ref="A1:BG124"/>
  <sheetViews>
    <sheetView view="pageBreakPreview" topLeftCell="D48" zoomScale="69" zoomScaleNormal="85" zoomScaleSheetLayoutView="55" workbookViewId="0">
      <selection activeCell="S8" sqref="S8:X8"/>
    </sheetView>
  </sheetViews>
  <sheetFormatPr defaultColWidth="3.5546875" defaultRowHeight="17.100000000000001" customHeight="1" x14ac:dyDescent="0.3"/>
  <cols>
    <col min="1" max="1" width="3.44140625" style="3" bestFit="1" customWidth="1"/>
    <col min="2" max="3" width="4.77734375" style="3" customWidth="1"/>
    <col min="4" max="4" width="6.44140625" style="3" bestFit="1" customWidth="1"/>
    <col min="5" max="5" width="4.77734375" style="3" customWidth="1"/>
    <col min="6" max="6" width="5.77734375" style="3" bestFit="1" customWidth="1"/>
    <col min="7" max="7" width="4.77734375" style="3" customWidth="1"/>
    <col min="8" max="8" width="5.77734375" style="3" bestFit="1" customWidth="1"/>
    <col min="9" max="9" width="6.5546875" style="3" bestFit="1" customWidth="1"/>
    <col min="10" max="10" width="5.77734375" style="3" bestFit="1" customWidth="1"/>
    <col min="11" max="11" width="6" style="3" customWidth="1"/>
    <col min="12" max="14" width="4.77734375" style="3" customWidth="1"/>
    <col min="15" max="15" width="7.21875" style="7" customWidth="1"/>
    <col min="16" max="21" width="4.77734375" style="3" customWidth="1"/>
    <col min="22" max="24" width="5.21875" style="3" customWidth="1"/>
    <col min="25" max="25" width="4.77734375" style="3" customWidth="1"/>
    <col min="26" max="26" width="3.5546875" style="3"/>
    <col min="27" max="27" width="6.44140625" style="3" customWidth="1"/>
    <col min="28" max="28" width="16.77734375" style="3" bestFit="1" customWidth="1"/>
    <col min="29" max="29" width="61.5546875" style="3" bestFit="1" customWidth="1"/>
    <col min="30" max="30" width="2.77734375" style="3" bestFit="1" customWidth="1"/>
    <col min="31" max="31" width="13" style="3" bestFit="1" customWidth="1"/>
    <col min="32" max="32" width="13.77734375" style="3" bestFit="1" customWidth="1"/>
    <col min="33" max="33" width="14" style="3" bestFit="1" customWidth="1"/>
    <col min="34" max="34" width="4.44140625" style="3" bestFit="1" customWidth="1"/>
    <col min="35" max="35" width="61" style="3" hidden="1" customWidth="1"/>
    <col min="36" max="36" width="2.77734375" style="3" bestFit="1" customWidth="1"/>
    <col min="37" max="37" width="15" style="3" bestFit="1" customWidth="1"/>
    <col min="38" max="38" width="15.77734375" style="3" bestFit="1" customWidth="1"/>
    <col min="39" max="39" width="16" style="3" bestFit="1" customWidth="1"/>
    <col min="40" max="40" width="6.77734375" style="3" customWidth="1"/>
    <col min="41" max="41" width="5.44140625" style="3" bestFit="1" customWidth="1"/>
    <col min="42" max="46" width="3.5546875" style="3"/>
    <col min="47" max="47" width="81.77734375" style="3" bestFit="1" customWidth="1"/>
    <col min="48" max="48" width="18.21875" style="3" bestFit="1" customWidth="1"/>
    <col min="49" max="49" width="60.44140625" style="3" bestFit="1" customWidth="1"/>
    <col min="50" max="50" width="5.21875" style="3" customWidth="1"/>
    <col min="51" max="51" width="13.77734375" style="3" bestFit="1" customWidth="1"/>
    <col min="52" max="52" width="14.44140625" style="3" bestFit="1" customWidth="1"/>
    <col min="53" max="53" width="14.5546875" style="3" bestFit="1" customWidth="1"/>
    <col min="54" max="54" width="4.5546875" style="3" bestFit="1" customWidth="1"/>
    <col min="55" max="55" width="61" style="3" bestFit="1" customWidth="1"/>
    <col min="56" max="56" width="5.44140625" style="3" customWidth="1"/>
    <col min="57" max="57" width="15" style="3" bestFit="1" customWidth="1"/>
    <col min="58" max="58" width="15.77734375" style="3" bestFit="1" customWidth="1"/>
    <col min="59" max="59" width="16" style="3" bestFit="1" customWidth="1"/>
    <col min="60" max="16384" width="3.5546875" style="3"/>
  </cols>
  <sheetData>
    <row r="1" spans="1:25" ht="17.100000000000001" customHeight="1" thickTop="1" x14ac:dyDescent="0.3">
      <c r="A1" s="1"/>
      <c r="B1" s="2"/>
      <c r="C1" s="2"/>
      <c r="D1" s="2"/>
      <c r="E1" s="2"/>
      <c r="F1" s="2"/>
      <c r="G1" s="2"/>
      <c r="H1" s="2"/>
      <c r="I1" s="431" t="s">
        <v>0</v>
      </c>
      <c r="J1" s="432"/>
      <c r="K1" s="432"/>
      <c r="L1" s="432"/>
      <c r="M1" s="432"/>
      <c r="N1" s="432"/>
      <c r="O1" s="432"/>
      <c r="P1" s="432"/>
      <c r="Q1" s="432"/>
      <c r="R1" s="432"/>
      <c r="S1" s="432"/>
      <c r="T1" s="432"/>
      <c r="U1" s="432"/>
      <c r="V1" s="432"/>
      <c r="W1" s="432"/>
      <c r="X1" s="432"/>
      <c r="Y1" s="432"/>
    </row>
    <row r="2" spans="1:25" ht="17.100000000000001" customHeight="1" x14ac:dyDescent="0.3">
      <c r="B2" s="4"/>
      <c r="C2" s="4"/>
      <c r="D2" s="4"/>
      <c r="E2" s="4"/>
      <c r="F2" s="4"/>
      <c r="G2" s="4"/>
      <c r="H2" s="4"/>
      <c r="I2" s="431"/>
      <c r="J2" s="432"/>
      <c r="K2" s="432"/>
      <c r="L2" s="432"/>
      <c r="M2" s="432"/>
      <c r="N2" s="432"/>
      <c r="O2" s="432"/>
      <c r="P2" s="432"/>
      <c r="Q2" s="432"/>
      <c r="R2" s="432"/>
      <c r="S2" s="432"/>
      <c r="T2" s="432"/>
      <c r="U2" s="432"/>
      <c r="V2" s="432"/>
      <c r="W2" s="432"/>
      <c r="X2" s="432"/>
      <c r="Y2" s="432"/>
    </row>
    <row r="3" spans="1:25" ht="17.100000000000001" customHeight="1" x14ac:dyDescent="0.3">
      <c r="I3" s="433" t="s">
        <v>198</v>
      </c>
      <c r="J3" s="434"/>
      <c r="K3" s="434"/>
      <c r="L3" s="434"/>
      <c r="M3" s="434"/>
      <c r="N3" s="434"/>
      <c r="O3" s="434"/>
      <c r="P3" s="434"/>
      <c r="Q3" s="434"/>
      <c r="R3" s="434"/>
      <c r="S3" s="434"/>
      <c r="T3" s="434"/>
      <c r="U3" s="434"/>
      <c r="V3" s="434"/>
      <c r="W3" s="434"/>
      <c r="X3" s="434"/>
      <c r="Y3" s="434"/>
    </row>
    <row r="4" spans="1:25" ht="17.100000000000001" customHeight="1" thickBot="1" x14ac:dyDescent="0.35">
      <c r="A4" s="5"/>
      <c r="B4" s="5"/>
      <c r="C4" s="5"/>
      <c r="D4" s="5"/>
      <c r="E4" s="5"/>
      <c r="F4" s="5"/>
      <c r="G4" s="5"/>
      <c r="H4" s="5"/>
      <c r="I4" s="435"/>
      <c r="J4" s="436"/>
      <c r="K4" s="436"/>
      <c r="L4" s="436"/>
      <c r="M4" s="436"/>
      <c r="N4" s="436"/>
      <c r="O4" s="436"/>
      <c r="P4" s="436"/>
      <c r="Q4" s="436"/>
      <c r="R4" s="436"/>
      <c r="S4" s="436"/>
      <c r="T4" s="436"/>
      <c r="U4" s="436"/>
      <c r="V4" s="436"/>
      <c r="W4" s="436"/>
      <c r="X4" s="436"/>
      <c r="Y4" s="436"/>
    </row>
    <row r="5" spans="1:25" ht="17.100000000000001" customHeight="1" thickTop="1" x14ac:dyDescent="0.3">
      <c r="A5" s="6"/>
      <c r="B5" s="6"/>
      <c r="C5" s="6"/>
      <c r="D5" s="6"/>
      <c r="E5" s="6"/>
      <c r="F5" s="6"/>
      <c r="G5" s="6"/>
      <c r="H5" s="6"/>
      <c r="I5" s="6"/>
      <c r="J5" s="6"/>
      <c r="K5" s="6"/>
      <c r="L5" s="6"/>
      <c r="M5" s="6"/>
      <c r="N5" s="6"/>
      <c r="O5" s="6"/>
      <c r="P5" s="6"/>
      <c r="Q5" s="6"/>
      <c r="R5" s="6"/>
      <c r="S5" s="6"/>
      <c r="T5" s="6"/>
      <c r="U5" s="6"/>
      <c r="V5" s="6"/>
      <c r="W5" s="6"/>
      <c r="X5" s="6"/>
    </row>
    <row r="6" spans="1:25" ht="17.100000000000001" customHeight="1" x14ac:dyDescent="0.3">
      <c r="A6" s="6">
        <v>1</v>
      </c>
      <c r="B6" s="4" t="s">
        <v>3</v>
      </c>
    </row>
    <row r="7" spans="1:25" ht="17.100000000000001" customHeight="1" x14ac:dyDescent="0.3">
      <c r="A7" s="6"/>
      <c r="B7" s="404" t="s">
        <v>5</v>
      </c>
      <c r="C7" s="405"/>
      <c r="D7" s="405"/>
      <c r="E7" s="406"/>
      <c r="F7" s="407" t="s">
        <v>391</v>
      </c>
      <c r="G7" s="408"/>
      <c r="H7" s="408"/>
      <c r="I7" s="408"/>
      <c r="J7" s="408"/>
      <c r="K7" s="408"/>
      <c r="L7" s="408"/>
      <c r="M7" s="409"/>
      <c r="N7" s="404" t="s">
        <v>176</v>
      </c>
      <c r="O7" s="405"/>
      <c r="P7" s="405"/>
      <c r="Q7" s="405"/>
      <c r="R7" s="406"/>
      <c r="S7" s="440" t="s">
        <v>320</v>
      </c>
      <c r="T7" s="440"/>
      <c r="U7" s="440"/>
      <c r="V7" s="440"/>
      <c r="W7" s="440"/>
      <c r="X7" s="440"/>
    </row>
    <row r="8" spans="1:25" ht="17.100000000000001" customHeight="1" x14ac:dyDescent="0.3">
      <c r="A8" s="7"/>
      <c r="B8" s="404" t="s">
        <v>11</v>
      </c>
      <c r="C8" s="405"/>
      <c r="D8" s="405"/>
      <c r="E8" s="406"/>
      <c r="F8" s="407" t="s">
        <v>387</v>
      </c>
      <c r="G8" s="408"/>
      <c r="H8" s="408"/>
      <c r="I8" s="408"/>
      <c r="J8" s="408"/>
      <c r="K8" s="408"/>
      <c r="L8" s="408"/>
      <c r="M8" s="409"/>
      <c r="N8" s="127" t="s">
        <v>161</v>
      </c>
      <c r="O8" s="128"/>
      <c r="P8" s="128"/>
      <c r="Q8" s="128"/>
      <c r="R8" s="129"/>
      <c r="S8" s="426" t="s">
        <v>392</v>
      </c>
      <c r="T8" s="440"/>
      <c r="U8" s="440"/>
      <c r="V8" s="440"/>
      <c r="W8" s="440"/>
      <c r="X8" s="440"/>
    </row>
    <row r="9" spans="1:25" ht="17.100000000000001" customHeight="1" x14ac:dyDescent="0.3">
      <c r="A9" s="7"/>
      <c r="B9" s="404" t="s">
        <v>15</v>
      </c>
      <c r="C9" s="405"/>
      <c r="D9" s="405"/>
      <c r="E9" s="406"/>
      <c r="F9" s="423" t="s">
        <v>388</v>
      </c>
      <c r="G9" s="424"/>
      <c r="H9" s="424"/>
      <c r="I9" s="424"/>
      <c r="J9" s="424"/>
      <c r="K9" s="424"/>
      <c r="L9" s="424"/>
      <c r="M9" s="425"/>
      <c r="N9" s="130" t="s">
        <v>13</v>
      </c>
      <c r="O9" s="128"/>
      <c r="P9" s="128"/>
      <c r="Q9" s="128"/>
      <c r="R9" s="129"/>
      <c r="S9" s="426" t="s">
        <v>390</v>
      </c>
      <c r="T9" s="440"/>
      <c r="U9" s="440"/>
      <c r="V9" s="440"/>
      <c r="W9" s="440"/>
      <c r="X9" s="440"/>
    </row>
    <row r="10" spans="1:25" ht="17.100000000000001" customHeight="1" x14ac:dyDescent="0.3">
      <c r="A10" s="7"/>
      <c r="B10" s="404" t="s">
        <v>18</v>
      </c>
      <c r="C10" s="405"/>
      <c r="D10" s="405"/>
      <c r="E10" s="406"/>
      <c r="F10" s="437" t="s">
        <v>389</v>
      </c>
      <c r="G10" s="438"/>
      <c r="H10" s="438"/>
      <c r="I10" s="438"/>
      <c r="J10" s="438"/>
      <c r="K10" s="438"/>
      <c r="L10" s="438"/>
      <c r="M10" s="439"/>
      <c r="N10" s="130" t="s">
        <v>16</v>
      </c>
      <c r="O10" s="128"/>
      <c r="P10" s="128"/>
      <c r="Q10" s="128"/>
      <c r="R10" s="129"/>
      <c r="S10" s="426" t="s">
        <v>390</v>
      </c>
      <c r="T10" s="440"/>
      <c r="U10" s="440"/>
      <c r="V10" s="440"/>
      <c r="W10" s="440"/>
      <c r="X10" s="440"/>
    </row>
    <row r="11" spans="1:25" ht="17.100000000000001" customHeight="1" x14ac:dyDescent="0.25">
      <c r="A11" s="7"/>
      <c r="B11" s="404" t="s">
        <v>20</v>
      </c>
      <c r="C11" s="405"/>
      <c r="D11" s="405"/>
      <c r="E11" s="406"/>
      <c r="F11" s="410">
        <v>0.1</v>
      </c>
      <c r="G11" s="411"/>
      <c r="H11" s="411"/>
      <c r="I11" s="148" t="s">
        <v>41</v>
      </c>
      <c r="J11" s="131"/>
      <c r="K11" s="131"/>
      <c r="L11" s="131"/>
      <c r="M11" s="132"/>
      <c r="N11" s="130" t="s">
        <v>178</v>
      </c>
      <c r="O11" s="128"/>
      <c r="P11" s="128"/>
      <c r="Q11" s="128"/>
      <c r="R11" s="129"/>
      <c r="S11" s="426" t="s">
        <v>386</v>
      </c>
      <c r="T11" s="426"/>
      <c r="U11" s="426"/>
      <c r="V11" s="426"/>
      <c r="W11" s="426"/>
      <c r="X11" s="426"/>
    </row>
    <row r="12" spans="1:25" ht="17.100000000000001" customHeight="1" x14ac:dyDescent="0.3">
      <c r="A12" s="7"/>
      <c r="B12" s="404" t="s">
        <v>23</v>
      </c>
      <c r="C12" s="405"/>
      <c r="D12" s="405"/>
      <c r="E12" s="406"/>
      <c r="F12" s="418">
        <v>0.1</v>
      </c>
      <c r="G12" s="419"/>
      <c r="H12" s="419"/>
      <c r="I12" s="148" t="s">
        <v>41</v>
      </c>
      <c r="J12" s="137" t="s">
        <v>24</v>
      </c>
      <c r="K12" s="154">
        <v>134</v>
      </c>
      <c r="L12" s="148" t="s">
        <v>41</v>
      </c>
      <c r="M12" s="132"/>
      <c r="N12" s="130" t="s">
        <v>21</v>
      </c>
      <c r="O12" s="128"/>
      <c r="P12" s="128"/>
      <c r="Q12" s="128"/>
      <c r="R12" s="129"/>
      <c r="S12" s="441" t="s">
        <v>199</v>
      </c>
      <c r="T12" s="441"/>
      <c r="U12" s="441"/>
      <c r="V12" s="441"/>
      <c r="W12" s="441"/>
      <c r="X12" s="441"/>
    </row>
    <row r="13" spans="1:25" ht="17.100000000000001" customHeight="1" x14ac:dyDescent="0.3">
      <c r="B13" s="10"/>
      <c r="C13" s="8"/>
      <c r="H13" s="10"/>
      <c r="I13" s="126"/>
      <c r="J13" s="10"/>
      <c r="K13" s="126"/>
      <c r="L13" s="126"/>
      <c r="M13" s="10"/>
      <c r="N13" s="130" t="s">
        <v>179</v>
      </c>
      <c r="O13" s="128"/>
      <c r="P13" s="128"/>
      <c r="Q13" s="128"/>
      <c r="R13" s="129"/>
      <c r="S13" s="426"/>
      <c r="T13" s="426"/>
      <c r="U13" s="426"/>
      <c r="V13" s="426"/>
      <c r="W13" s="426"/>
      <c r="X13" s="426"/>
    </row>
    <row r="14" spans="1:25" ht="17.100000000000001" customHeight="1" x14ac:dyDescent="0.3">
      <c r="B14" s="10"/>
      <c r="C14" s="8"/>
      <c r="H14" s="10"/>
      <c r="I14" s="126"/>
      <c r="J14" s="10"/>
      <c r="K14" s="126"/>
      <c r="L14" s="126"/>
      <c r="M14" s="10"/>
      <c r="N14" s="4"/>
      <c r="O14" s="4"/>
      <c r="P14" s="4"/>
      <c r="Q14" s="4"/>
      <c r="R14" s="4"/>
      <c r="S14" s="126"/>
      <c r="T14" s="126"/>
      <c r="U14" s="126"/>
      <c r="V14" s="126"/>
      <c r="W14" s="126"/>
      <c r="X14" s="126"/>
    </row>
    <row r="15" spans="1:25" ht="17.100000000000001" customHeight="1" x14ac:dyDescent="0.3">
      <c r="A15" s="6">
        <v>2</v>
      </c>
      <c r="B15" s="4" t="s">
        <v>26</v>
      </c>
      <c r="O15" s="3"/>
      <c r="T15" s="7"/>
    </row>
    <row r="16" spans="1:25" ht="17.100000000000001" customHeight="1" x14ac:dyDescent="0.3">
      <c r="A16" s="7"/>
      <c r="B16" s="18" t="s">
        <v>27</v>
      </c>
      <c r="C16" s="420" t="s">
        <v>28</v>
      </c>
      <c r="D16" s="421"/>
      <c r="E16" s="421"/>
      <c r="F16" s="421"/>
      <c r="G16" s="421"/>
      <c r="H16" s="422"/>
      <c r="I16" s="420" t="s">
        <v>11</v>
      </c>
      <c r="J16" s="421"/>
      <c r="K16" s="421"/>
      <c r="L16" s="422"/>
      <c r="M16" s="420" t="s">
        <v>15</v>
      </c>
      <c r="N16" s="421"/>
      <c r="O16" s="421"/>
      <c r="P16" s="422"/>
      <c r="Q16" s="420" t="s">
        <v>29</v>
      </c>
      <c r="R16" s="421"/>
      <c r="S16" s="421"/>
      <c r="T16" s="422"/>
      <c r="U16" s="362" t="s">
        <v>163</v>
      </c>
      <c r="V16" s="362"/>
      <c r="W16" s="362"/>
      <c r="X16" s="362"/>
    </row>
    <row r="17" spans="1:47" ht="17.100000000000001" customHeight="1" x14ac:dyDescent="0.3">
      <c r="A17" s="7"/>
      <c r="B17" s="124">
        <v>1</v>
      </c>
      <c r="C17" s="389" t="s">
        <v>30</v>
      </c>
      <c r="D17" s="390"/>
      <c r="E17" s="390"/>
      <c r="F17" s="390"/>
      <c r="G17" s="390"/>
      <c r="H17" s="391"/>
      <c r="I17" s="392" t="s">
        <v>169</v>
      </c>
      <c r="J17" s="393"/>
      <c r="K17" s="393"/>
      <c r="L17" s="394"/>
      <c r="M17" s="392" t="s">
        <v>31</v>
      </c>
      <c r="N17" s="393"/>
      <c r="O17" s="393"/>
      <c r="P17" s="394"/>
      <c r="Q17" s="392" t="s">
        <v>32</v>
      </c>
      <c r="R17" s="393"/>
      <c r="S17" s="393"/>
      <c r="T17" s="394"/>
      <c r="U17" s="363" t="s">
        <v>164</v>
      </c>
      <c r="V17" s="363"/>
      <c r="W17" s="363"/>
      <c r="X17" s="363"/>
    </row>
    <row r="18" spans="1:47" ht="17.100000000000001" customHeight="1" x14ac:dyDescent="0.3">
      <c r="A18" s="7"/>
      <c r="B18" s="124">
        <v>2</v>
      </c>
      <c r="C18" s="389" t="s">
        <v>33</v>
      </c>
      <c r="D18" s="390"/>
      <c r="E18" s="390"/>
      <c r="F18" s="390"/>
      <c r="G18" s="390"/>
      <c r="H18" s="391"/>
      <c r="I18" s="392" t="s">
        <v>162</v>
      </c>
      <c r="J18" s="393"/>
      <c r="K18" s="393"/>
      <c r="L18" s="394"/>
      <c r="M18" s="392" t="s">
        <v>34</v>
      </c>
      <c r="N18" s="393"/>
      <c r="O18" s="393"/>
      <c r="P18" s="394"/>
      <c r="Q18" s="392" t="s">
        <v>35</v>
      </c>
      <c r="R18" s="393"/>
      <c r="S18" s="393"/>
      <c r="T18" s="394"/>
      <c r="U18" s="363" t="s">
        <v>293</v>
      </c>
      <c r="V18" s="363"/>
      <c r="W18" s="363"/>
      <c r="X18" s="363"/>
    </row>
    <row r="19" spans="1:47" ht="17.100000000000001" customHeight="1" x14ac:dyDescent="0.3">
      <c r="A19" s="7"/>
      <c r="B19" s="124">
        <v>3</v>
      </c>
      <c r="C19" s="389" t="s">
        <v>337</v>
      </c>
      <c r="D19" s="390"/>
      <c r="E19" s="390"/>
      <c r="F19" s="390"/>
      <c r="G19" s="390"/>
      <c r="H19" s="391"/>
      <c r="I19" s="392" t="s">
        <v>338</v>
      </c>
      <c r="J19" s="393"/>
      <c r="K19" s="393"/>
      <c r="L19" s="394"/>
      <c r="M19" s="392" t="s">
        <v>339</v>
      </c>
      <c r="N19" s="393"/>
      <c r="O19" s="393"/>
      <c r="P19" s="394"/>
      <c r="Q19" s="399" t="s">
        <v>340</v>
      </c>
      <c r="R19" s="393"/>
      <c r="S19" s="393"/>
      <c r="T19" s="394"/>
      <c r="U19" s="363" t="s">
        <v>341</v>
      </c>
      <c r="V19" s="363"/>
      <c r="W19" s="363"/>
      <c r="X19" s="363"/>
    </row>
    <row r="20" spans="1:47" ht="17.100000000000001" customHeight="1" x14ac:dyDescent="0.3">
      <c r="O20" s="3"/>
    </row>
    <row r="21" spans="1:47" ht="17.100000000000001" customHeight="1" x14ac:dyDescent="0.3">
      <c r="A21" s="6">
        <v>3</v>
      </c>
      <c r="B21" s="4" t="s">
        <v>117</v>
      </c>
      <c r="M21" s="7"/>
      <c r="N21" s="7"/>
      <c r="O21" s="3"/>
    </row>
    <row r="22" spans="1:47" ht="17.100000000000001" customHeight="1" thickBot="1" x14ac:dyDescent="0.35">
      <c r="A22" s="7"/>
      <c r="B22" s="133" t="s">
        <v>27</v>
      </c>
      <c r="C22" s="427" t="s">
        <v>37</v>
      </c>
      <c r="D22" s="428"/>
      <c r="E22" s="428"/>
      <c r="F22" s="428"/>
      <c r="G22" s="428"/>
      <c r="H22" s="428"/>
      <c r="I22" s="428"/>
      <c r="J22" s="429"/>
      <c r="K22" s="427" t="s">
        <v>40</v>
      </c>
      <c r="L22" s="428"/>
      <c r="M22" s="428"/>
      <c r="N22" s="428"/>
      <c r="O22" s="429"/>
      <c r="P22" s="427" t="s">
        <v>42</v>
      </c>
      <c r="Q22" s="428"/>
      <c r="R22" s="428"/>
      <c r="S22" s="428"/>
      <c r="T22" s="429"/>
      <c r="U22" s="430" t="s">
        <v>39</v>
      </c>
      <c r="V22" s="430"/>
      <c r="W22" s="430"/>
      <c r="X22" s="430"/>
    </row>
    <row r="23" spans="1:47" ht="16.5" customHeight="1" thickTop="1" x14ac:dyDescent="0.3">
      <c r="A23" s="7"/>
      <c r="B23" s="11">
        <v>1</v>
      </c>
      <c r="C23" s="412" t="s">
        <v>165</v>
      </c>
      <c r="D23" s="413"/>
      <c r="E23" s="413"/>
      <c r="F23" s="413"/>
      <c r="G23" s="413"/>
      <c r="H23" s="413"/>
      <c r="I23" s="413"/>
      <c r="J23" s="414"/>
      <c r="K23" s="415">
        <v>24.5</v>
      </c>
      <c r="L23" s="416"/>
      <c r="M23" s="416"/>
      <c r="N23" s="416"/>
      <c r="O23" s="417"/>
      <c r="P23" s="396">
        <v>24.6</v>
      </c>
      <c r="Q23" s="397"/>
      <c r="R23" s="397"/>
      <c r="S23" s="397"/>
      <c r="T23" s="398"/>
      <c r="U23" s="365" t="s">
        <v>166</v>
      </c>
      <c r="V23" s="365"/>
      <c r="W23" s="365"/>
      <c r="X23" s="365"/>
    </row>
    <row r="24" spans="1:47" ht="17.100000000000001" customHeight="1" x14ac:dyDescent="0.3">
      <c r="A24" s="7"/>
      <c r="B24" s="12">
        <f>B23+1</f>
        <v>2</v>
      </c>
      <c r="C24" s="379" t="s">
        <v>167</v>
      </c>
      <c r="D24" s="380"/>
      <c r="E24" s="380"/>
      <c r="F24" s="380"/>
      <c r="G24" s="380"/>
      <c r="H24" s="380"/>
      <c r="I24" s="380"/>
      <c r="J24" s="381"/>
      <c r="K24" s="373">
        <v>55</v>
      </c>
      <c r="L24" s="374"/>
      <c r="M24" s="374"/>
      <c r="N24" s="374"/>
      <c r="O24" s="395"/>
      <c r="P24" s="373">
        <v>56</v>
      </c>
      <c r="Q24" s="374"/>
      <c r="R24" s="374"/>
      <c r="S24" s="374"/>
      <c r="T24" s="395"/>
      <c r="U24" s="363" t="s">
        <v>168</v>
      </c>
      <c r="V24" s="363"/>
      <c r="W24" s="363"/>
      <c r="X24" s="363"/>
    </row>
    <row r="25" spans="1:47" ht="17.100000000000001" customHeight="1" x14ac:dyDescent="0.3">
      <c r="B25" s="124">
        <v>3</v>
      </c>
      <c r="C25" s="379" t="s">
        <v>43</v>
      </c>
      <c r="D25" s="380"/>
      <c r="E25" s="380"/>
      <c r="F25" s="380"/>
      <c r="G25" s="380"/>
      <c r="H25" s="380"/>
      <c r="I25" s="380"/>
      <c r="J25" s="381"/>
      <c r="K25" s="282" t="s">
        <v>44</v>
      </c>
      <c r="L25" s="281" t="s">
        <v>6</v>
      </c>
      <c r="M25" s="374">
        <v>222</v>
      </c>
      <c r="N25" s="374"/>
      <c r="O25" s="283" t="s">
        <v>45</v>
      </c>
    </row>
    <row r="27" spans="1:47" ht="17.100000000000001" customHeight="1" x14ac:dyDescent="0.3">
      <c r="A27" s="6">
        <v>4</v>
      </c>
      <c r="B27" s="4" t="s">
        <v>47</v>
      </c>
    </row>
    <row r="28" spans="1:47" ht="17.100000000000001" customHeight="1" x14ac:dyDescent="0.3">
      <c r="A28" s="4"/>
      <c r="B28" s="4" t="s">
        <v>48</v>
      </c>
      <c r="E28" s="7" t="s">
        <v>49</v>
      </c>
      <c r="F28" s="4">
        <v>1</v>
      </c>
    </row>
    <row r="29" spans="1:47" ht="17.100000000000001" customHeight="1" x14ac:dyDescent="0.3">
      <c r="A29" s="4"/>
      <c r="B29" s="4" t="s">
        <v>50</v>
      </c>
      <c r="E29" s="7" t="s">
        <v>49</v>
      </c>
      <c r="F29" s="4">
        <v>0</v>
      </c>
      <c r="O29" s="3"/>
      <c r="T29" s="7"/>
      <c r="AU29" s="6"/>
    </row>
    <row r="30" spans="1:47" s="6" customFormat="1" ht="27" customHeight="1" thickBot="1" x14ac:dyDescent="0.35">
      <c r="B30" s="49" t="s">
        <v>27</v>
      </c>
      <c r="C30" s="382" t="s">
        <v>37</v>
      </c>
      <c r="D30" s="383"/>
      <c r="E30" s="383"/>
      <c r="F30" s="383"/>
      <c r="G30" s="384"/>
      <c r="H30" s="382" t="s">
        <v>51</v>
      </c>
      <c r="I30" s="383"/>
      <c r="J30" s="383"/>
      <c r="K30" s="383"/>
      <c r="L30" s="383"/>
      <c r="M30" s="383"/>
      <c r="N30" s="383"/>
      <c r="O30" s="383"/>
      <c r="P30" s="383"/>
      <c r="Q30" s="383"/>
      <c r="R30" s="383"/>
      <c r="S30" s="383"/>
      <c r="T30" s="384"/>
      <c r="U30" s="385" t="s">
        <v>52</v>
      </c>
      <c r="V30" s="385"/>
      <c r="W30" s="385"/>
      <c r="X30" s="385"/>
    </row>
    <row r="31" spans="1:47" s="6" customFormat="1" ht="29.55" customHeight="1" thickTop="1" x14ac:dyDescent="0.3">
      <c r="B31" s="134">
        <v>1</v>
      </c>
      <c r="C31" s="386" t="s">
        <v>53</v>
      </c>
      <c r="D31" s="387"/>
      <c r="E31" s="387"/>
      <c r="F31" s="387"/>
      <c r="G31" s="388"/>
      <c r="H31" s="400" t="s">
        <v>54</v>
      </c>
      <c r="I31" s="401"/>
      <c r="J31" s="401"/>
      <c r="K31" s="401"/>
      <c r="L31" s="401"/>
      <c r="M31" s="401"/>
      <c r="N31" s="401"/>
      <c r="O31" s="401"/>
      <c r="P31" s="401"/>
      <c r="Q31" s="401"/>
      <c r="R31" s="401"/>
      <c r="S31" s="401"/>
      <c r="T31" s="402"/>
      <c r="U31" s="403">
        <v>1</v>
      </c>
      <c r="V31" s="403"/>
      <c r="W31" s="403"/>
      <c r="X31" s="403"/>
      <c r="AU31" s="3"/>
    </row>
    <row r="32" spans="1:47" ht="55.35" customHeight="1" x14ac:dyDescent="0.3">
      <c r="B32" s="135">
        <f t="shared" ref="B32:B36" si="0">B31+1</f>
        <v>2</v>
      </c>
      <c r="C32" s="446" t="s">
        <v>55</v>
      </c>
      <c r="D32" s="447"/>
      <c r="E32" s="447"/>
      <c r="F32" s="447"/>
      <c r="G32" s="448"/>
      <c r="H32" s="449" t="s">
        <v>56</v>
      </c>
      <c r="I32" s="450"/>
      <c r="J32" s="450"/>
      <c r="K32" s="450"/>
      <c r="L32" s="450"/>
      <c r="M32" s="450"/>
      <c r="N32" s="450"/>
      <c r="O32" s="450"/>
      <c r="P32" s="450"/>
      <c r="Q32" s="450"/>
      <c r="R32" s="450"/>
      <c r="S32" s="450"/>
      <c r="T32" s="451"/>
      <c r="U32" s="442">
        <v>1</v>
      </c>
      <c r="V32" s="442"/>
      <c r="W32" s="442"/>
      <c r="X32" s="442"/>
    </row>
    <row r="33" spans="1:59" ht="34.35" customHeight="1" x14ac:dyDescent="0.3">
      <c r="B33" s="135">
        <f t="shared" si="0"/>
        <v>3</v>
      </c>
      <c r="C33" s="446" t="s">
        <v>57</v>
      </c>
      <c r="D33" s="447"/>
      <c r="E33" s="447"/>
      <c r="F33" s="447"/>
      <c r="G33" s="448"/>
      <c r="H33" s="449" t="s">
        <v>58</v>
      </c>
      <c r="I33" s="450"/>
      <c r="J33" s="450"/>
      <c r="K33" s="450"/>
      <c r="L33" s="450"/>
      <c r="M33" s="450"/>
      <c r="N33" s="450"/>
      <c r="O33" s="450"/>
      <c r="P33" s="450"/>
      <c r="Q33" s="450"/>
      <c r="R33" s="450"/>
      <c r="S33" s="450"/>
      <c r="T33" s="451"/>
      <c r="U33" s="442">
        <v>1</v>
      </c>
      <c r="V33" s="442"/>
      <c r="W33" s="442"/>
      <c r="X33" s="442"/>
    </row>
    <row r="34" spans="1:59" ht="46.35" customHeight="1" x14ac:dyDescent="0.3">
      <c r="B34" s="135">
        <f t="shared" si="0"/>
        <v>4</v>
      </c>
      <c r="C34" s="446" t="s">
        <v>59</v>
      </c>
      <c r="D34" s="447"/>
      <c r="E34" s="447"/>
      <c r="F34" s="447"/>
      <c r="G34" s="448"/>
      <c r="H34" s="449" t="s">
        <v>60</v>
      </c>
      <c r="I34" s="450"/>
      <c r="J34" s="450"/>
      <c r="K34" s="450"/>
      <c r="L34" s="450"/>
      <c r="M34" s="450"/>
      <c r="N34" s="450"/>
      <c r="O34" s="450"/>
      <c r="P34" s="450"/>
      <c r="Q34" s="450"/>
      <c r="R34" s="450"/>
      <c r="S34" s="450"/>
      <c r="T34" s="451"/>
      <c r="U34" s="442">
        <v>1</v>
      </c>
      <c r="V34" s="442"/>
      <c r="W34" s="442"/>
      <c r="X34" s="442"/>
    </row>
    <row r="35" spans="1:59" ht="90" customHeight="1" x14ac:dyDescent="0.3">
      <c r="B35" s="135">
        <f t="shared" si="0"/>
        <v>5</v>
      </c>
      <c r="C35" s="446" t="s">
        <v>61</v>
      </c>
      <c r="D35" s="447"/>
      <c r="E35" s="447"/>
      <c r="F35" s="447"/>
      <c r="G35" s="448"/>
      <c r="H35" s="449" t="s">
        <v>62</v>
      </c>
      <c r="I35" s="450"/>
      <c r="J35" s="450"/>
      <c r="K35" s="450"/>
      <c r="L35" s="450"/>
      <c r="M35" s="450"/>
      <c r="N35" s="450"/>
      <c r="O35" s="450"/>
      <c r="P35" s="450"/>
      <c r="Q35" s="450"/>
      <c r="R35" s="450"/>
      <c r="S35" s="450"/>
      <c r="T35" s="451"/>
      <c r="U35" s="442">
        <v>1</v>
      </c>
      <c r="V35" s="442"/>
      <c r="W35" s="442"/>
      <c r="X35" s="442"/>
    </row>
    <row r="36" spans="1:59" ht="17.100000000000001" customHeight="1" x14ac:dyDescent="0.3">
      <c r="B36" s="39">
        <f t="shared" si="0"/>
        <v>6</v>
      </c>
      <c r="C36" s="446" t="s">
        <v>63</v>
      </c>
      <c r="D36" s="447"/>
      <c r="E36" s="447"/>
      <c r="F36" s="447"/>
      <c r="G36" s="448"/>
      <c r="H36" s="449" t="s">
        <v>64</v>
      </c>
      <c r="I36" s="450"/>
      <c r="J36" s="450"/>
      <c r="K36" s="450"/>
      <c r="L36" s="450"/>
      <c r="M36" s="450"/>
      <c r="N36" s="450"/>
      <c r="O36" s="450"/>
      <c r="P36" s="450"/>
      <c r="Q36" s="450"/>
      <c r="R36" s="450"/>
      <c r="S36" s="450"/>
      <c r="T36" s="451"/>
      <c r="U36" s="442">
        <v>1</v>
      </c>
      <c r="V36" s="442"/>
      <c r="W36" s="442"/>
      <c r="X36" s="442"/>
    </row>
    <row r="37" spans="1:59" ht="17.100000000000001" customHeight="1" x14ac:dyDescent="0.3">
      <c r="B37" s="7"/>
      <c r="C37" s="14"/>
      <c r="D37" s="14"/>
      <c r="E37" s="14"/>
      <c r="F37" s="14"/>
      <c r="G37" s="14"/>
      <c r="H37" s="15"/>
      <c r="I37" s="15"/>
      <c r="J37" s="15"/>
      <c r="K37" s="15"/>
      <c r="L37" s="15"/>
      <c r="M37" s="15"/>
      <c r="N37" s="15"/>
      <c r="O37" s="15"/>
      <c r="P37" s="15"/>
      <c r="Q37" s="15"/>
      <c r="R37" s="15"/>
      <c r="S37" s="15"/>
      <c r="T37" s="16"/>
      <c r="U37" s="16"/>
      <c r="V37" s="16"/>
      <c r="W37" s="16"/>
      <c r="X37" s="16"/>
    </row>
    <row r="38" spans="1:59" ht="17.100000000000001" customHeight="1" x14ac:dyDescent="0.3">
      <c r="A38" s="6">
        <v>5</v>
      </c>
      <c r="B38" s="17" t="s">
        <v>66</v>
      </c>
      <c r="C38" s="14"/>
      <c r="D38" s="14"/>
      <c r="E38" s="14"/>
      <c r="F38" s="14"/>
      <c r="G38" s="14"/>
      <c r="H38" s="15"/>
      <c r="I38" s="15"/>
      <c r="J38" s="15"/>
      <c r="K38" s="15"/>
      <c r="L38" s="15"/>
      <c r="M38" s="15"/>
      <c r="N38" s="15"/>
      <c r="O38" s="15"/>
      <c r="P38" s="15"/>
      <c r="Q38" s="15"/>
      <c r="R38" s="15"/>
      <c r="S38" s="15"/>
      <c r="T38" s="16"/>
      <c r="U38" s="16"/>
      <c r="V38" s="16"/>
      <c r="W38" s="16"/>
      <c r="X38" s="16"/>
    </row>
    <row r="39" spans="1:59" ht="17.100000000000001" customHeight="1" x14ac:dyDescent="0.25">
      <c r="A39" s="64"/>
      <c r="B39" s="452" t="s">
        <v>67</v>
      </c>
      <c r="C39" s="452"/>
      <c r="D39" s="452"/>
      <c r="E39" s="3" t="s">
        <v>6</v>
      </c>
      <c r="F39" s="285" t="s">
        <v>188</v>
      </c>
      <c r="G39" s="286"/>
      <c r="H39" s="9"/>
      <c r="I39" s="27"/>
      <c r="J39" s="27"/>
      <c r="K39" s="27"/>
      <c r="L39" s="27"/>
      <c r="M39" s="27"/>
      <c r="N39" s="27"/>
      <c r="O39" s="27"/>
      <c r="P39" s="27"/>
      <c r="Q39" s="27"/>
      <c r="R39" s="27"/>
      <c r="S39" s="168"/>
      <c r="T39" s="168"/>
      <c r="U39" s="168"/>
      <c r="V39" s="168"/>
      <c r="W39" s="168"/>
      <c r="X39" s="168"/>
      <c r="Y39" s="182"/>
      <c r="Z39" s="64"/>
      <c r="BG39" s="7"/>
    </row>
    <row r="40" spans="1:59" ht="17.100000000000001" customHeight="1" x14ac:dyDescent="0.25">
      <c r="A40" s="64"/>
      <c r="B40" s="452" t="s">
        <v>69</v>
      </c>
      <c r="C40" s="452"/>
      <c r="D40" s="452"/>
      <c r="E40" s="3" t="s">
        <v>6</v>
      </c>
      <c r="F40" s="285" t="s">
        <v>70</v>
      </c>
      <c r="G40" s="286"/>
      <c r="H40" s="9"/>
      <c r="I40" s="64"/>
      <c r="J40" s="64"/>
      <c r="K40" s="64"/>
      <c r="L40" s="64"/>
      <c r="M40" s="64"/>
      <c r="N40" s="64"/>
      <c r="O40" s="64"/>
      <c r="P40" s="64"/>
      <c r="Q40" s="64"/>
      <c r="R40" s="64"/>
      <c r="S40" s="65"/>
      <c r="T40" s="65"/>
      <c r="U40" s="65"/>
      <c r="V40" s="65"/>
      <c r="W40" s="65"/>
      <c r="X40" s="65"/>
      <c r="Y40" s="182"/>
      <c r="Z40" s="64"/>
      <c r="AU40" s="18" t="s">
        <v>300</v>
      </c>
      <c r="BG40" s="7"/>
    </row>
    <row r="41" spans="1:59" ht="17.100000000000001" customHeight="1" x14ac:dyDescent="0.3">
      <c r="A41" s="64"/>
      <c r="B41" s="174" t="s">
        <v>189</v>
      </c>
      <c r="C41" s="173"/>
      <c r="D41" s="173"/>
      <c r="E41" s="3" t="s">
        <v>6</v>
      </c>
      <c r="F41" s="287" t="s">
        <v>192</v>
      </c>
      <c r="G41" s="288"/>
      <c r="O41" s="3"/>
      <c r="Y41" s="64"/>
      <c r="Z41" s="64"/>
      <c r="AA41" s="164" t="s">
        <v>27</v>
      </c>
      <c r="AB41" s="362" t="s">
        <v>37</v>
      </c>
      <c r="AC41" s="362"/>
      <c r="AD41" s="362"/>
      <c r="AE41" s="362"/>
      <c r="AF41" s="362"/>
      <c r="AG41" s="362"/>
      <c r="AH41" s="362"/>
      <c r="AI41" s="362"/>
      <c r="AJ41" s="362"/>
      <c r="AK41" s="362"/>
      <c r="AL41" s="362"/>
      <c r="AM41" s="362" t="s">
        <v>68</v>
      </c>
      <c r="AN41" s="362"/>
      <c r="AO41" s="362"/>
      <c r="AU41" s="289" t="s">
        <v>301</v>
      </c>
      <c r="BG41" s="7"/>
    </row>
    <row r="42" spans="1:59" ht="14.4" x14ac:dyDescent="0.25">
      <c r="A42" s="64"/>
      <c r="B42" s="172" t="s">
        <v>27</v>
      </c>
      <c r="C42" s="453" t="s">
        <v>37</v>
      </c>
      <c r="D42" s="453"/>
      <c r="E42" s="454"/>
      <c r="F42" s="454"/>
      <c r="G42" s="454"/>
      <c r="H42" s="454"/>
      <c r="I42" s="454"/>
      <c r="J42" s="454"/>
      <c r="K42" s="454"/>
      <c r="L42" s="454"/>
      <c r="M42" s="454"/>
      <c r="N42" s="454"/>
      <c r="O42" s="454"/>
      <c r="P42" s="454" t="s">
        <v>38</v>
      </c>
      <c r="Q42" s="454"/>
      <c r="R42" s="454"/>
      <c r="S42" s="454"/>
      <c r="T42" s="454"/>
      <c r="U42" s="455" t="s">
        <v>74</v>
      </c>
      <c r="V42" s="455"/>
      <c r="W42" s="455"/>
      <c r="X42" s="455"/>
      <c r="Y42" s="64"/>
      <c r="Z42" s="64"/>
      <c r="AA42" s="180">
        <v>1</v>
      </c>
      <c r="AB42" s="443" t="s">
        <v>71</v>
      </c>
      <c r="AC42" s="444"/>
      <c r="AD42" s="444"/>
      <c r="AE42" s="444"/>
      <c r="AF42" s="444"/>
      <c r="AG42" s="444"/>
      <c r="AH42" s="444"/>
      <c r="AI42" s="444"/>
      <c r="AJ42" s="444"/>
      <c r="AK42" s="444"/>
      <c r="AL42" s="445"/>
      <c r="AM42" s="184" t="s">
        <v>72</v>
      </c>
      <c r="AN42" s="185">
        <v>2</v>
      </c>
      <c r="AO42" s="186" t="s">
        <v>73</v>
      </c>
      <c r="AU42" s="289" t="s">
        <v>302</v>
      </c>
      <c r="BG42" s="7"/>
    </row>
    <row r="43" spans="1:59" ht="14.4" x14ac:dyDescent="0.3">
      <c r="A43" s="64"/>
      <c r="B43" s="169">
        <v>1</v>
      </c>
      <c r="C43" s="170">
        <v>3</v>
      </c>
      <c r="D43" s="370" t="str">
        <f>VLOOKUP(C43,$AB$51:$AO$54,2,0)</f>
        <v>Resistansi pembumian Kabel dapat dilepas (DPS)</v>
      </c>
      <c r="E43" s="371"/>
      <c r="F43" s="371"/>
      <c r="G43" s="371"/>
      <c r="H43" s="371"/>
      <c r="I43" s="371"/>
      <c r="J43" s="371"/>
      <c r="K43" s="371"/>
      <c r="L43" s="371"/>
      <c r="M43" s="371"/>
      <c r="N43" s="371"/>
      <c r="O43" s="372"/>
      <c r="P43" s="373">
        <v>0.11799999999999999</v>
      </c>
      <c r="Q43" s="374"/>
      <c r="R43" s="374"/>
      <c r="S43" s="192"/>
      <c r="T43" s="162" t="s">
        <v>77</v>
      </c>
      <c r="U43" s="161" t="s">
        <v>76</v>
      </c>
      <c r="V43" s="376">
        <f>VLOOKUP(C43,$AB$51:$AO$54,13,0)</f>
        <v>0.3</v>
      </c>
      <c r="W43" s="376"/>
      <c r="X43" s="162" t="s">
        <v>77</v>
      </c>
      <c r="Y43" s="64"/>
      <c r="Z43" s="64"/>
      <c r="AA43" s="187">
        <v>2</v>
      </c>
      <c r="AB43" s="463" t="s">
        <v>82</v>
      </c>
      <c r="AC43" s="464"/>
      <c r="AD43" s="464"/>
      <c r="AE43" s="464"/>
      <c r="AF43" s="464"/>
      <c r="AG43" s="464"/>
      <c r="AH43" s="464"/>
      <c r="AI43" s="464"/>
      <c r="AJ43" s="464"/>
      <c r="AK43" s="464"/>
      <c r="AL43" s="465"/>
      <c r="AM43" s="456"/>
      <c r="AN43" s="457"/>
      <c r="AO43" s="458"/>
      <c r="AU43" s="289" t="s">
        <v>303</v>
      </c>
      <c r="BG43" s="7"/>
    </row>
    <row r="44" spans="1:59" ht="17.100000000000001" customHeight="1" x14ac:dyDescent="0.25">
      <c r="A44" s="64"/>
      <c r="B44" s="169">
        <v>2</v>
      </c>
      <c r="C44" s="46"/>
      <c r="D44" s="370" t="str">
        <f>VLOOKUP(F39,$AB$59:$AI$61,MATCH(F40,$AB$58:$AI$58,0),0)</f>
        <v>Arus bocor peralatan metode Langsung kelas I tipe B</v>
      </c>
      <c r="E44" s="371"/>
      <c r="F44" s="371"/>
      <c r="G44" s="371"/>
      <c r="H44" s="371"/>
      <c r="I44" s="371"/>
      <c r="J44" s="371"/>
      <c r="K44" s="371"/>
      <c r="L44" s="371"/>
      <c r="M44" s="371"/>
      <c r="N44" s="371"/>
      <c r="O44" s="372"/>
      <c r="P44" s="373">
        <v>25</v>
      </c>
      <c r="Q44" s="374"/>
      <c r="R44" s="374"/>
      <c r="S44" s="193"/>
      <c r="T44" s="171" t="s">
        <v>78</v>
      </c>
      <c r="U44" s="58" t="s">
        <v>76</v>
      </c>
      <c r="V44" s="377">
        <f>IF(F40="I",VLOOKUP(F39,AB59:AH61,MATCH(F41,$AB$58:$AH$58,0),0),VLOOKUP(F39,AB64:AH66,MATCH(F41,$AB$58:$AH$58,0),0))</f>
        <v>500</v>
      </c>
      <c r="W44" s="377"/>
      <c r="X44" s="171" t="s">
        <v>78</v>
      </c>
      <c r="Y44" s="167"/>
      <c r="Z44" s="167"/>
      <c r="AA44" s="486"/>
      <c r="AB44" s="22">
        <v>1</v>
      </c>
      <c r="AC44" s="459" t="s">
        <v>84</v>
      </c>
      <c r="AD44" s="460"/>
      <c r="AE44" s="460"/>
      <c r="AF44" s="460"/>
      <c r="AG44" s="460"/>
      <c r="AH44" s="460"/>
      <c r="AI44" s="460"/>
      <c r="AJ44" s="460"/>
      <c r="AK44" s="460"/>
      <c r="AL44" s="461"/>
      <c r="AM44" s="20" t="s">
        <v>79</v>
      </c>
      <c r="AN44" s="19">
        <v>5000</v>
      </c>
      <c r="AO44" s="21" t="s">
        <v>78</v>
      </c>
      <c r="AU44" s="289" t="s">
        <v>304</v>
      </c>
      <c r="BG44" s="7"/>
    </row>
    <row r="45" spans="1:59" ht="17.100000000000001" customHeight="1" x14ac:dyDescent="0.25">
      <c r="A45" s="64"/>
      <c r="B45" s="169">
        <v>3</v>
      </c>
      <c r="C45" s="170">
        <v>5</v>
      </c>
      <c r="D45" s="370" t="str">
        <f>VLOOKUP(C45,$AB$44:$AO$48,2,0)</f>
        <v>Pengukuran arus bocor yang diaplikasikan tidak dilakukan (tidak ada bagian yang diaplikasikan)</v>
      </c>
      <c r="E45" s="371"/>
      <c r="F45" s="371"/>
      <c r="G45" s="371"/>
      <c r="H45" s="371"/>
      <c r="I45" s="371"/>
      <c r="J45" s="371"/>
      <c r="K45" s="371"/>
      <c r="L45" s="371"/>
      <c r="M45" s="371"/>
      <c r="N45" s="371"/>
      <c r="O45" s="372"/>
      <c r="P45" s="375" t="s">
        <v>162</v>
      </c>
      <c r="Q45" s="375"/>
      <c r="R45" s="375"/>
      <c r="S45" s="193"/>
      <c r="T45" s="171" t="s">
        <v>78</v>
      </c>
      <c r="U45" s="58" t="s">
        <v>76</v>
      </c>
      <c r="V45" s="377">
        <f>VLOOKUP(C45,$AB$44:$AO$48,13,0)</f>
        <v>0</v>
      </c>
      <c r="W45" s="377"/>
      <c r="X45" s="171" t="s">
        <v>78</v>
      </c>
      <c r="Y45" s="167"/>
      <c r="Z45" s="167"/>
      <c r="AA45" s="486"/>
      <c r="AB45" s="22">
        <v>2</v>
      </c>
      <c r="AC45" s="462" t="s">
        <v>86</v>
      </c>
      <c r="AD45" s="462"/>
      <c r="AE45" s="462"/>
      <c r="AF45" s="462"/>
      <c r="AG45" s="462"/>
      <c r="AH45" s="462"/>
      <c r="AI45" s="462"/>
      <c r="AJ45" s="462"/>
      <c r="AK45" s="462"/>
      <c r="AL45" s="462"/>
      <c r="AM45" s="20" t="s">
        <v>79</v>
      </c>
      <c r="AN45" s="19">
        <v>50</v>
      </c>
      <c r="AO45" s="21" t="s">
        <v>78</v>
      </c>
      <c r="AU45" s="289" t="s">
        <v>305</v>
      </c>
      <c r="BG45" s="7"/>
    </row>
    <row r="46" spans="1:59" ht="17.100000000000001" customHeight="1" x14ac:dyDescent="0.25">
      <c r="A46" s="64"/>
      <c r="B46" s="169">
        <v>4</v>
      </c>
      <c r="C46" s="370" t="s">
        <v>80</v>
      </c>
      <c r="D46" s="371"/>
      <c r="E46" s="371"/>
      <c r="F46" s="371"/>
      <c r="G46" s="371"/>
      <c r="H46" s="371"/>
      <c r="I46" s="371"/>
      <c r="J46" s="371"/>
      <c r="K46" s="371"/>
      <c r="L46" s="371"/>
      <c r="M46" s="371"/>
      <c r="N46" s="371"/>
      <c r="O46" s="372"/>
      <c r="P46" s="373">
        <v>100</v>
      </c>
      <c r="Q46" s="374"/>
      <c r="R46" s="374"/>
      <c r="S46" s="194"/>
      <c r="T46" s="136" t="s">
        <v>73</v>
      </c>
      <c r="U46" s="58" t="s">
        <v>72</v>
      </c>
      <c r="V46" s="377">
        <v>2</v>
      </c>
      <c r="W46" s="377"/>
      <c r="X46" s="136" t="s">
        <v>73</v>
      </c>
      <c r="Y46" s="167"/>
      <c r="Z46" s="167"/>
      <c r="AA46" s="486"/>
      <c r="AB46" s="22">
        <v>3</v>
      </c>
      <c r="AC46" s="462" t="s">
        <v>87</v>
      </c>
      <c r="AD46" s="462"/>
      <c r="AE46" s="462"/>
      <c r="AF46" s="462"/>
      <c r="AG46" s="462"/>
      <c r="AH46" s="462"/>
      <c r="AI46" s="462"/>
      <c r="AJ46" s="462"/>
      <c r="AK46" s="462"/>
      <c r="AL46" s="462"/>
      <c r="AM46" s="20" t="s">
        <v>79</v>
      </c>
      <c r="AN46" s="19">
        <v>5000</v>
      </c>
      <c r="AO46" s="21" t="s">
        <v>78</v>
      </c>
      <c r="AU46" s="289" t="s">
        <v>306</v>
      </c>
      <c r="AZ46" s="4"/>
      <c r="BA46" s="4"/>
      <c r="BB46" s="4"/>
      <c r="BC46" s="4"/>
      <c r="BD46" s="4"/>
      <c r="BE46" s="4"/>
      <c r="BF46" s="4"/>
    </row>
    <row r="47" spans="1:59" ht="17.100000000000001" customHeight="1" x14ac:dyDescent="0.25">
      <c r="A47" s="46"/>
      <c r="B47" s="64"/>
      <c r="C47" s="46" t="str">
        <f>IF(AND(F42="BF",F44="I"),2,IF(AND(F42="BF",F44="II"),11,""))</f>
        <v/>
      </c>
      <c r="D47" s="64"/>
      <c r="E47" s="64"/>
      <c r="F47" s="64"/>
      <c r="G47" s="64"/>
      <c r="H47" s="64"/>
      <c r="I47" s="64"/>
      <c r="J47" s="64"/>
      <c r="K47" s="64"/>
      <c r="L47" s="64"/>
      <c r="M47" s="64"/>
      <c r="N47" s="64"/>
      <c r="O47" s="64"/>
      <c r="P47" s="64"/>
      <c r="Q47" s="64"/>
      <c r="R47" s="64"/>
      <c r="S47" s="65"/>
      <c r="T47" s="65"/>
      <c r="U47" s="65"/>
      <c r="V47" s="65"/>
      <c r="W47" s="65"/>
      <c r="X47" s="65"/>
      <c r="Y47" s="64"/>
      <c r="Z47" s="167"/>
      <c r="AA47" s="486"/>
      <c r="AB47" s="22">
        <v>4</v>
      </c>
      <c r="AC47" s="459" t="s">
        <v>90</v>
      </c>
      <c r="AD47" s="460"/>
      <c r="AE47" s="460"/>
      <c r="AF47" s="460"/>
      <c r="AG47" s="460"/>
      <c r="AH47" s="460"/>
      <c r="AI47" s="460"/>
      <c r="AJ47" s="460"/>
      <c r="AK47" s="460"/>
      <c r="AL47" s="461"/>
      <c r="AM47" s="20" t="s">
        <v>79</v>
      </c>
      <c r="AN47" s="19">
        <v>50</v>
      </c>
      <c r="AO47" s="21" t="s">
        <v>78</v>
      </c>
      <c r="AU47" s="289" t="s">
        <v>307</v>
      </c>
    </row>
    <row r="48" spans="1:59" ht="17.100000000000001" customHeight="1" x14ac:dyDescent="0.25">
      <c r="A48" s="6">
        <v>6</v>
      </c>
      <c r="B48" s="17" t="s">
        <v>200</v>
      </c>
      <c r="Z48" s="64"/>
      <c r="AA48" s="486"/>
      <c r="AB48" s="22">
        <v>5</v>
      </c>
      <c r="AC48" s="462" t="s">
        <v>91</v>
      </c>
      <c r="AD48" s="462"/>
      <c r="AE48" s="462"/>
      <c r="AF48" s="462"/>
      <c r="AG48" s="462"/>
      <c r="AH48" s="462"/>
      <c r="AI48" s="462"/>
      <c r="AJ48" s="462"/>
      <c r="AK48" s="462"/>
      <c r="AL48" s="462"/>
      <c r="AM48" s="20" t="s">
        <v>79</v>
      </c>
      <c r="AN48" s="19">
        <v>0</v>
      </c>
      <c r="AO48" s="21" t="s">
        <v>78</v>
      </c>
      <c r="AU48" s="289" t="s">
        <v>308</v>
      </c>
    </row>
    <row r="49" spans="1:59" ht="17.100000000000001" customHeight="1" x14ac:dyDescent="0.3">
      <c r="A49" s="4"/>
      <c r="B49" s="196" t="s">
        <v>4</v>
      </c>
      <c r="C49" s="4" t="s">
        <v>201</v>
      </c>
      <c r="Z49" s="64"/>
      <c r="AA49" s="487"/>
      <c r="AB49" s="109"/>
      <c r="AC49" s="109"/>
      <c r="AD49" s="109"/>
      <c r="AE49" s="109"/>
      <c r="AF49" s="109"/>
      <c r="AG49" s="109"/>
      <c r="AH49" s="109"/>
      <c r="AI49" s="109"/>
      <c r="AJ49" s="109"/>
      <c r="AK49" s="109"/>
      <c r="AL49" s="110"/>
      <c r="AM49" s="467"/>
      <c r="AN49" s="468"/>
      <c r="AO49" s="469"/>
      <c r="AU49" s="289" t="s">
        <v>309</v>
      </c>
    </row>
    <row r="50" spans="1:59" ht="17.100000000000001" customHeight="1" x14ac:dyDescent="0.3">
      <c r="A50" s="4"/>
      <c r="B50" s="196"/>
      <c r="C50" s="197" t="s">
        <v>202</v>
      </c>
      <c r="AA50" s="112">
        <v>3</v>
      </c>
      <c r="AB50" s="462" t="s">
        <v>92</v>
      </c>
      <c r="AC50" s="462"/>
      <c r="AD50" s="462"/>
      <c r="AE50" s="462"/>
      <c r="AF50" s="462"/>
      <c r="AG50" s="462"/>
      <c r="AH50" s="462"/>
      <c r="AI50" s="462"/>
      <c r="AJ50" s="462"/>
      <c r="AK50" s="462"/>
      <c r="AL50" s="462"/>
      <c r="AM50" s="467"/>
      <c r="AN50" s="468"/>
      <c r="AO50" s="469"/>
      <c r="AU50" s="289" t="s">
        <v>310</v>
      </c>
    </row>
    <row r="51" spans="1:59" ht="17.100000000000001" customHeight="1" x14ac:dyDescent="0.25">
      <c r="A51" s="4"/>
      <c r="B51" s="196"/>
      <c r="C51" s="197" t="s">
        <v>203</v>
      </c>
      <c r="AA51" s="114"/>
      <c r="AB51" s="111">
        <v>1</v>
      </c>
      <c r="AC51" s="466" t="s">
        <v>296</v>
      </c>
      <c r="AD51" s="466"/>
      <c r="AE51" s="466"/>
      <c r="AF51" s="466"/>
      <c r="AG51" s="466"/>
      <c r="AH51" s="466"/>
      <c r="AI51" s="466"/>
      <c r="AJ51" s="466"/>
      <c r="AK51" s="466"/>
      <c r="AL51" s="466"/>
      <c r="AM51" s="20" t="s">
        <v>79</v>
      </c>
      <c r="AN51" s="19">
        <v>0.3</v>
      </c>
      <c r="AO51" s="21" t="s">
        <v>75</v>
      </c>
      <c r="AU51" s="289" t="s">
        <v>311</v>
      </c>
    </row>
    <row r="52" spans="1:59" ht="17.100000000000001" customHeight="1" x14ac:dyDescent="0.25">
      <c r="A52" s="4"/>
      <c r="B52" s="196"/>
      <c r="C52" s="197" t="s">
        <v>204</v>
      </c>
      <c r="AA52" s="114"/>
      <c r="AB52" s="111">
        <v>2</v>
      </c>
      <c r="AC52" s="466" t="s">
        <v>297</v>
      </c>
      <c r="AD52" s="466"/>
      <c r="AE52" s="466"/>
      <c r="AF52" s="466"/>
      <c r="AG52" s="466"/>
      <c r="AH52" s="466"/>
      <c r="AI52" s="466"/>
      <c r="AJ52" s="466"/>
      <c r="AK52" s="466"/>
      <c r="AL52" s="466"/>
      <c r="AM52" s="20" t="s">
        <v>79</v>
      </c>
      <c r="AN52" s="19">
        <v>0.3</v>
      </c>
      <c r="AO52" s="21" t="s">
        <v>75</v>
      </c>
      <c r="AU52" s="289" t="s">
        <v>312</v>
      </c>
    </row>
    <row r="53" spans="1:59" ht="17.100000000000001" customHeight="1" x14ac:dyDescent="0.25">
      <c r="A53" s="4"/>
      <c r="B53" s="196"/>
      <c r="C53" s="4"/>
      <c r="AA53" s="114"/>
      <c r="AB53" s="111">
        <v>3</v>
      </c>
      <c r="AC53" s="466" t="s">
        <v>298</v>
      </c>
      <c r="AD53" s="466"/>
      <c r="AE53" s="466"/>
      <c r="AF53" s="466"/>
      <c r="AG53" s="466"/>
      <c r="AH53" s="466"/>
      <c r="AI53" s="466"/>
      <c r="AJ53" s="466"/>
      <c r="AK53" s="466"/>
      <c r="AL53" s="466"/>
      <c r="AM53" s="20" t="s">
        <v>79</v>
      </c>
      <c r="AN53" s="19">
        <v>0.3</v>
      </c>
      <c r="AO53" s="21" t="s">
        <v>75</v>
      </c>
      <c r="AU53" s="289" t="s">
        <v>313</v>
      </c>
    </row>
    <row r="54" spans="1:59" ht="17.100000000000001" customHeight="1" x14ac:dyDescent="0.25">
      <c r="A54" s="4"/>
      <c r="B54" s="196"/>
      <c r="C54" s="489" t="s">
        <v>205</v>
      </c>
      <c r="D54" s="489"/>
      <c r="E54" s="489"/>
      <c r="F54" s="489"/>
      <c r="G54" s="489"/>
      <c r="H54" s="489"/>
      <c r="I54" s="364" t="s">
        <v>206</v>
      </c>
      <c r="J54" s="364"/>
      <c r="K54" s="364"/>
      <c r="L54" s="364"/>
      <c r="M54" s="364"/>
      <c r="N54" s="364"/>
      <c r="O54" s="364"/>
      <c r="P54" s="364"/>
      <c r="Q54" s="364"/>
      <c r="R54" s="364"/>
      <c r="S54" s="364"/>
      <c r="T54" s="364"/>
      <c r="U54" s="364"/>
      <c r="V54" s="364"/>
      <c r="W54" s="364"/>
      <c r="X54" s="364"/>
      <c r="AA54" s="114"/>
      <c r="AB54" s="111">
        <v>4</v>
      </c>
      <c r="AC54" s="466" t="s">
        <v>299</v>
      </c>
      <c r="AD54" s="466"/>
      <c r="AE54" s="466"/>
      <c r="AF54" s="466"/>
      <c r="AG54" s="466"/>
      <c r="AH54" s="466"/>
      <c r="AI54" s="466"/>
      <c r="AJ54" s="466"/>
      <c r="AK54" s="466"/>
      <c r="AL54" s="466"/>
      <c r="AM54" s="20" t="s">
        <v>79</v>
      </c>
      <c r="AN54" s="19">
        <v>0.5</v>
      </c>
      <c r="AO54" s="21" t="s">
        <v>75</v>
      </c>
      <c r="AU54" s="289" t="s">
        <v>314</v>
      </c>
    </row>
    <row r="55" spans="1:59" ht="17.100000000000001" customHeight="1" x14ac:dyDescent="0.25">
      <c r="A55" s="4"/>
      <c r="B55" s="196"/>
      <c r="C55" s="364" t="s">
        <v>207</v>
      </c>
      <c r="D55" s="364"/>
      <c r="E55" s="364"/>
      <c r="F55" s="364" t="s">
        <v>118</v>
      </c>
      <c r="G55" s="364"/>
      <c r="H55" s="364"/>
      <c r="I55" s="364" t="s">
        <v>207</v>
      </c>
      <c r="J55" s="490"/>
      <c r="K55" s="490"/>
      <c r="L55" s="490"/>
      <c r="M55" s="364" t="s">
        <v>208</v>
      </c>
      <c r="N55" s="490"/>
      <c r="O55" s="490"/>
      <c r="P55" s="490"/>
      <c r="Q55" s="364" t="s">
        <v>209</v>
      </c>
      <c r="R55" s="364"/>
      <c r="S55" s="364"/>
      <c r="T55" s="364"/>
      <c r="U55" s="364" t="s">
        <v>210</v>
      </c>
      <c r="V55" s="364"/>
      <c r="W55" s="364"/>
      <c r="X55" s="364"/>
      <c r="AA55" s="115"/>
      <c r="AB55" s="111"/>
      <c r="AC55" s="466"/>
      <c r="AD55" s="466"/>
      <c r="AE55" s="466"/>
      <c r="AF55" s="466"/>
      <c r="AG55" s="466"/>
      <c r="AH55" s="466"/>
      <c r="AI55" s="466"/>
      <c r="AJ55" s="466"/>
      <c r="AK55" s="466"/>
      <c r="AL55" s="466"/>
      <c r="AM55" s="20"/>
      <c r="AN55" s="19"/>
      <c r="AO55" s="21"/>
      <c r="AU55" s="289" t="s">
        <v>315</v>
      </c>
    </row>
    <row r="56" spans="1:59" ht="17.100000000000001" customHeight="1" thickBot="1" x14ac:dyDescent="0.3">
      <c r="A56" s="4"/>
      <c r="B56" s="196"/>
      <c r="C56" s="493" t="s">
        <v>385</v>
      </c>
      <c r="D56" s="493"/>
      <c r="E56" s="493"/>
      <c r="F56" s="493" t="s">
        <v>41</v>
      </c>
      <c r="G56" s="493"/>
      <c r="H56" s="493"/>
      <c r="I56" s="493" t="s">
        <v>385</v>
      </c>
      <c r="J56" s="493"/>
      <c r="K56" s="493"/>
      <c r="L56" s="493"/>
      <c r="M56" s="493" t="s">
        <v>41</v>
      </c>
      <c r="N56" s="493"/>
      <c r="O56" s="493"/>
      <c r="P56" s="493"/>
      <c r="Q56" s="493" t="s">
        <v>41</v>
      </c>
      <c r="R56" s="493"/>
      <c r="S56" s="493"/>
      <c r="T56" s="493"/>
      <c r="U56" s="493" t="s">
        <v>41</v>
      </c>
      <c r="V56" s="493"/>
      <c r="W56" s="493"/>
      <c r="X56" s="493"/>
      <c r="AA56" s="113"/>
      <c r="AB56" s="355"/>
      <c r="AC56" s="356"/>
      <c r="AD56" s="356"/>
      <c r="AE56" s="357"/>
      <c r="AF56" s="358"/>
      <c r="AG56" s="359"/>
      <c r="AH56" s="356"/>
      <c r="AI56" s="356"/>
      <c r="AJ56" s="356"/>
      <c r="AK56" s="356"/>
      <c r="AL56" s="356"/>
      <c r="AM56" s="356"/>
      <c r="AN56" s="360"/>
      <c r="AO56" s="9"/>
      <c r="AU56" s="289"/>
    </row>
    <row r="57" spans="1:59" ht="17.100000000000001" customHeight="1" thickTop="1" x14ac:dyDescent="0.25">
      <c r="A57" s="4"/>
      <c r="B57" s="196"/>
      <c r="C57" s="365">
        <f>IF(F57=121,15,3)</f>
        <v>3</v>
      </c>
      <c r="D57" s="365"/>
      <c r="E57" s="365"/>
      <c r="F57" s="365">
        <v>134</v>
      </c>
      <c r="G57" s="365"/>
      <c r="H57" s="365"/>
      <c r="I57" s="366">
        <f>IF(F57=121,15,3)</f>
        <v>3</v>
      </c>
      <c r="J57" s="367"/>
      <c r="K57" s="367"/>
      <c r="L57" s="368"/>
      <c r="M57" s="369">
        <v>135.6</v>
      </c>
      <c r="N57" s="369"/>
      <c r="O57" s="369"/>
      <c r="P57" s="369"/>
      <c r="Q57" s="369">
        <v>135.69999999999999</v>
      </c>
      <c r="R57" s="369"/>
      <c r="S57" s="369"/>
      <c r="T57" s="369"/>
      <c r="U57" s="369">
        <v>135.69999999999999</v>
      </c>
      <c r="V57" s="369"/>
      <c r="W57" s="369"/>
      <c r="X57" s="369"/>
      <c r="AA57" s="188"/>
      <c r="AB57" s="6"/>
      <c r="AC57" s="6"/>
      <c r="AD57" s="6"/>
      <c r="AE57" s="480" t="s">
        <v>189</v>
      </c>
      <c r="AF57" s="481"/>
      <c r="AG57" s="482"/>
      <c r="AH57" s="6"/>
      <c r="AI57" s="6"/>
      <c r="AJ57" s="6"/>
      <c r="AK57" s="488"/>
      <c r="AL57" s="488"/>
      <c r="AM57" s="488"/>
      <c r="AN57" s="64"/>
      <c r="AO57" s="9"/>
      <c r="AU57" s="289" t="s">
        <v>316</v>
      </c>
    </row>
    <row r="58" spans="1:59" ht="17.100000000000001" customHeight="1" x14ac:dyDescent="0.25">
      <c r="A58" s="4"/>
      <c r="B58" s="196"/>
      <c r="C58" s="4"/>
      <c r="AA58" s="188">
        <v>4</v>
      </c>
      <c r="AB58" s="18" t="s">
        <v>191</v>
      </c>
      <c r="AC58" s="18" t="s">
        <v>70</v>
      </c>
      <c r="AD58" s="18"/>
      <c r="AE58" s="18" t="s">
        <v>192</v>
      </c>
      <c r="AF58" s="18" t="s">
        <v>193</v>
      </c>
      <c r="AG58" s="18" t="s">
        <v>194</v>
      </c>
      <c r="AH58" s="6"/>
      <c r="AI58" s="163" t="s">
        <v>187</v>
      </c>
      <c r="AJ58" s="6"/>
      <c r="AK58" s="46"/>
      <c r="AL58" s="46"/>
      <c r="AM58" s="46"/>
      <c r="AN58" s="64"/>
      <c r="AO58" s="9"/>
      <c r="AU58" s="289" t="s">
        <v>317</v>
      </c>
    </row>
    <row r="59" spans="1:59" ht="17.100000000000001" customHeight="1" x14ac:dyDescent="0.25">
      <c r="A59" s="4"/>
      <c r="B59" s="196"/>
      <c r="C59" s="362" t="s">
        <v>213</v>
      </c>
      <c r="D59" s="362"/>
      <c r="E59" s="362"/>
      <c r="F59" s="362"/>
      <c r="G59" s="362"/>
      <c r="H59" s="362"/>
      <c r="I59" s="362"/>
      <c r="J59" s="362"/>
      <c r="K59" s="362"/>
      <c r="L59" s="362"/>
      <c r="M59" s="362"/>
      <c r="N59" s="378" t="s">
        <v>214</v>
      </c>
      <c r="O59" s="378"/>
      <c r="P59" s="378"/>
      <c r="Q59" s="378"/>
      <c r="R59" s="378"/>
      <c r="S59" s="378"/>
      <c r="T59" s="378" t="s">
        <v>215</v>
      </c>
      <c r="U59" s="378"/>
      <c r="V59" s="378"/>
      <c r="W59" s="378"/>
      <c r="X59" s="378"/>
      <c r="AA59" s="188"/>
      <c r="AB59" s="124" t="s">
        <v>188</v>
      </c>
      <c r="AC59" s="124" t="str">
        <f>"Arus bocor peralatan metode "&amp; $F$41 &amp; " kelas I tipe B"</f>
        <v>Arus bocor peralatan metode Langsung kelas I tipe B</v>
      </c>
      <c r="AD59" s="176" t="s">
        <v>79</v>
      </c>
      <c r="AE59" s="124">
        <v>500</v>
      </c>
      <c r="AF59" s="124">
        <v>500</v>
      </c>
      <c r="AG59" s="124">
        <v>1000</v>
      </c>
      <c r="AH59" s="177" t="s">
        <v>78</v>
      </c>
      <c r="AI59" s="12" t="s">
        <v>195</v>
      </c>
      <c r="AJ59" s="190"/>
      <c r="AK59" s="66"/>
      <c r="AL59" s="66"/>
      <c r="AM59" s="66"/>
      <c r="AN59" s="183"/>
      <c r="AO59" s="9"/>
      <c r="AU59" s="289" t="s">
        <v>318</v>
      </c>
    </row>
    <row r="60" spans="1:59" ht="32.25" customHeight="1" x14ac:dyDescent="0.25">
      <c r="A60" s="4"/>
      <c r="B60" s="196"/>
      <c r="C60" s="362" t="s">
        <v>37</v>
      </c>
      <c r="D60" s="362"/>
      <c r="E60" s="362"/>
      <c r="F60" s="362"/>
      <c r="G60" s="362"/>
      <c r="H60" s="362"/>
      <c r="I60" s="362"/>
      <c r="J60" s="362"/>
      <c r="K60" s="362"/>
      <c r="L60" s="362"/>
      <c r="M60" s="362"/>
      <c r="N60" s="362" t="s">
        <v>39</v>
      </c>
      <c r="O60" s="362"/>
      <c r="P60" s="362"/>
      <c r="Q60" s="362"/>
      <c r="R60" s="362"/>
      <c r="S60" s="362"/>
      <c r="T60" s="362" t="s">
        <v>39</v>
      </c>
      <c r="U60" s="362"/>
      <c r="V60" s="362"/>
      <c r="W60" s="362"/>
      <c r="X60" s="362"/>
      <c r="AA60" s="188"/>
      <c r="AB60" s="124" t="s">
        <v>186</v>
      </c>
      <c r="AC60" s="124" t="str">
        <f>"Arus bocor peralatan metode "&amp; $F$41 &amp; " kelas I tipe BF"</f>
        <v>Arus bocor peralatan metode Langsung kelas I tipe BF</v>
      </c>
      <c r="AD60" s="176" t="s">
        <v>79</v>
      </c>
      <c r="AE60" s="124">
        <v>500</v>
      </c>
      <c r="AF60" s="124">
        <v>500</v>
      </c>
      <c r="AG60" s="124">
        <v>1000</v>
      </c>
      <c r="AH60" s="177" t="s">
        <v>78</v>
      </c>
      <c r="AI60" s="12" t="s">
        <v>196</v>
      </c>
      <c r="AJ60" s="190"/>
      <c r="AK60" s="66"/>
      <c r="AL60" s="66"/>
      <c r="AM60" s="66"/>
      <c r="AN60" s="183"/>
      <c r="AU60" s="289" t="s">
        <v>319</v>
      </c>
    </row>
    <row r="61" spans="1:59" ht="17.100000000000001" customHeight="1" x14ac:dyDescent="0.25">
      <c r="A61" s="4"/>
      <c r="B61" s="196"/>
      <c r="C61" s="361" t="s">
        <v>216</v>
      </c>
      <c r="D61" s="361"/>
      <c r="E61" s="361"/>
      <c r="F61" s="361"/>
      <c r="G61" s="361"/>
      <c r="H61" s="361"/>
      <c r="I61" s="361"/>
      <c r="J61" s="361"/>
      <c r="K61" s="361"/>
      <c r="L61" s="361"/>
      <c r="M61" s="361"/>
      <c r="N61" s="363" t="s">
        <v>217</v>
      </c>
      <c r="O61" s="363"/>
      <c r="P61" s="363"/>
      <c r="Q61" s="363"/>
      <c r="R61" s="363"/>
      <c r="S61" s="363"/>
      <c r="T61" s="363" t="s">
        <v>162</v>
      </c>
      <c r="U61" s="363"/>
      <c r="V61" s="363"/>
      <c r="W61" s="363"/>
      <c r="X61" s="363"/>
      <c r="AB61" s="165" t="s">
        <v>190</v>
      </c>
      <c r="AC61" s="165" t="str">
        <f>"Arus bocor peralatan metode "&amp; $F$41 &amp; " kelas I tipe CF"</f>
        <v>Arus bocor peralatan metode Langsung kelas I tipe CF</v>
      </c>
      <c r="AD61" s="176" t="s">
        <v>79</v>
      </c>
      <c r="AE61" s="124">
        <v>500</v>
      </c>
      <c r="AF61" s="124">
        <v>500</v>
      </c>
      <c r="AG61" s="124">
        <v>1000</v>
      </c>
      <c r="AH61" s="177" t="s">
        <v>78</v>
      </c>
      <c r="AI61" s="189" t="s">
        <v>197</v>
      </c>
      <c r="AJ61" s="190"/>
      <c r="AK61" s="66"/>
      <c r="AL61" s="66"/>
      <c r="AM61" s="66"/>
      <c r="AN61" s="183"/>
      <c r="AU61" s="289" t="s">
        <v>320</v>
      </c>
      <c r="BC61" s="7"/>
      <c r="BD61" s="7"/>
      <c r="BE61" s="7"/>
      <c r="BF61" s="7"/>
      <c r="BG61" s="7"/>
    </row>
    <row r="62" spans="1:59" ht="17.100000000000001" customHeight="1" x14ac:dyDescent="0.3">
      <c r="A62" s="4"/>
      <c r="B62" s="196"/>
      <c r="C62" s="361" t="s">
        <v>218</v>
      </c>
      <c r="D62" s="361"/>
      <c r="E62" s="361"/>
      <c r="F62" s="361"/>
      <c r="G62" s="361"/>
      <c r="H62" s="361"/>
      <c r="I62" s="361"/>
      <c r="J62" s="361"/>
      <c r="K62" s="361"/>
      <c r="L62" s="361"/>
      <c r="M62" s="361"/>
      <c r="N62" s="363" t="s">
        <v>219</v>
      </c>
      <c r="O62" s="363"/>
      <c r="P62" s="363"/>
      <c r="Q62" s="363"/>
      <c r="R62" s="363"/>
      <c r="S62" s="363"/>
      <c r="T62" s="363" t="s">
        <v>162</v>
      </c>
      <c r="U62" s="363"/>
      <c r="V62" s="363"/>
      <c r="W62" s="363"/>
      <c r="X62" s="363"/>
      <c r="AB62" s="175"/>
      <c r="AC62" s="6"/>
      <c r="AD62" s="6"/>
      <c r="AE62" s="483"/>
      <c r="AF62" s="484"/>
      <c r="AG62" s="485"/>
      <c r="AI62" s="175"/>
      <c r="AJ62" s="6"/>
      <c r="AK62" s="6"/>
      <c r="AL62" s="6"/>
      <c r="AM62" s="6"/>
      <c r="AU62" s="289" t="s">
        <v>321</v>
      </c>
      <c r="BC62" s="7"/>
      <c r="BD62" s="7"/>
      <c r="BE62" s="7"/>
      <c r="BF62" s="7"/>
      <c r="BG62" s="7"/>
    </row>
    <row r="63" spans="1:59" ht="17.100000000000001" customHeight="1" x14ac:dyDescent="0.3">
      <c r="A63" s="4"/>
      <c r="B63" s="196"/>
      <c r="C63" s="361" t="s">
        <v>220</v>
      </c>
      <c r="D63" s="361"/>
      <c r="E63" s="361"/>
      <c r="F63" s="361"/>
      <c r="G63" s="361"/>
      <c r="H63" s="361"/>
      <c r="I63" s="361"/>
      <c r="J63" s="361"/>
      <c r="K63" s="361"/>
      <c r="L63" s="361"/>
      <c r="M63" s="361"/>
      <c r="N63" s="363" t="s">
        <v>217</v>
      </c>
      <c r="O63" s="363"/>
      <c r="P63" s="363"/>
      <c r="Q63" s="363"/>
      <c r="R63" s="363"/>
      <c r="S63" s="363"/>
      <c r="T63" s="363" t="s">
        <v>162</v>
      </c>
      <c r="U63" s="363"/>
      <c r="V63" s="363"/>
      <c r="W63" s="363"/>
      <c r="X63" s="363"/>
      <c r="AB63" s="18" t="s">
        <v>191</v>
      </c>
      <c r="AC63" s="18" t="s">
        <v>187</v>
      </c>
      <c r="AD63" s="18"/>
      <c r="AE63" s="18"/>
      <c r="AF63" s="18"/>
      <c r="AG63" s="18"/>
      <c r="AI63" s="46"/>
      <c r="AJ63" s="46"/>
      <c r="AK63" s="46"/>
      <c r="AL63" s="46"/>
      <c r="AM63" s="6"/>
      <c r="AU63" s="289" t="s">
        <v>322</v>
      </c>
      <c r="BC63" s="7"/>
      <c r="BD63" s="7"/>
      <c r="BE63" s="7"/>
      <c r="BF63" s="7"/>
      <c r="BG63" s="7"/>
    </row>
    <row r="64" spans="1:59" ht="17.100000000000001" customHeight="1" x14ac:dyDescent="0.25">
      <c r="A64" s="4"/>
      <c r="B64" s="196"/>
      <c r="C64" s="361" t="s">
        <v>221</v>
      </c>
      <c r="D64" s="361"/>
      <c r="E64" s="361"/>
      <c r="F64" s="361"/>
      <c r="G64" s="361"/>
      <c r="H64" s="361"/>
      <c r="I64" s="361"/>
      <c r="J64" s="361"/>
      <c r="K64" s="361"/>
      <c r="L64" s="361"/>
      <c r="M64" s="361"/>
      <c r="N64" s="362"/>
      <c r="O64" s="362"/>
      <c r="P64" s="362"/>
      <c r="Q64" s="362"/>
      <c r="R64" s="362"/>
      <c r="S64" s="362"/>
      <c r="T64" s="362"/>
      <c r="U64" s="362"/>
      <c r="V64" s="362"/>
      <c r="W64" s="362"/>
      <c r="X64" s="362"/>
      <c r="AB64" s="124" t="s">
        <v>188</v>
      </c>
      <c r="AC64" s="124" t="str">
        <f>"Arus bocor peralatan metode "&amp; $F$40 &amp; " kelas II tipe B"</f>
        <v>Arus bocor peralatan metode I kelas II tipe B</v>
      </c>
      <c r="AD64" s="176" t="s">
        <v>79</v>
      </c>
      <c r="AE64" s="124">
        <v>100</v>
      </c>
      <c r="AF64" s="124">
        <v>100</v>
      </c>
      <c r="AG64" s="124">
        <v>500</v>
      </c>
      <c r="AH64" s="177" t="s">
        <v>78</v>
      </c>
      <c r="AI64" s="66"/>
      <c r="AJ64" s="191"/>
      <c r="AK64" s="66"/>
      <c r="AL64" s="183"/>
      <c r="AM64" s="6"/>
      <c r="AU64" s="289" t="s">
        <v>323</v>
      </c>
    </row>
    <row r="65" spans="1:47" ht="17.100000000000001" customHeight="1" x14ac:dyDescent="0.25">
      <c r="A65" s="4"/>
      <c r="B65" s="196"/>
      <c r="C65" s="363" t="s">
        <v>211</v>
      </c>
      <c r="D65" s="362"/>
      <c r="E65" s="362"/>
      <c r="F65" s="362"/>
      <c r="G65" s="362"/>
      <c r="H65" s="362"/>
      <c r="I65" s="362"/>
      <c r="J65" s="362"/>
      <c r="K65" s="362"/>
      <c r="L65" s="362"/>
      <c r="M65" s="362"/>
      <c r="N65" s="363" t="s">
        <v>222</v>
      </c>
      <c r="O65" s="363"/>
      <c r="P65" s="363"/>
      <c r="Q65" s="363"/>
      <c r="R65" s="363"/>
      <c r="S65" s="363"/>
      <c r="T65" s="363" t="s">
        <v>222</v>
      </c>
      <c r="U65" s="363"/>
      <c r="V65" s="363"/>
      <c r="W65" s="363"/>
      <c r="X65" s="363"/>
      <c r="AB65" s="124" t="s">
        <v>186</v>
      </c>
      <c r="AC65" s="124" t="str">
        <f>"Arus bocor peralatan metode "&amp; $F$40 &amp; " kelas II tipe BF"</f>
        <v>Arus bocor peralatan metode I kelas II tipe BF</v>
      </c>
      <c r="AD65" s="176" t="s">
        <v>79</v>
      </c>
      <c r="AE65" s="124" t="s">
        <v>162</v>
      </c>
      <c r="AF65" s="124">
        <v>100</v>
      </c>
      <c r="AG65" s="124">
        <v>500</v>
      </c>
      <c r="AH65" s="177" t="s">
        <v>78</v>
      </c>
      <c r="AI65" s="66"/>
      <c r="AJ65" s="191"/>
      <c r="AK65" s="66"/>
      <c r="AL65" s="183"/>
      <c r="AM65" s="7"/>
      <c r="AU65" s="289" t="s">
        <v>324</v>
      </c>
    </row>
    <row r="66" spans="1:47" ht="17.100000000000001" customHeight="1" x14ac:dyDescent="0.25">
      <c r="A66" s="4"/>
      <c r="B66" s="196"/>
      <c r="C66" s="363" t="s">
        <v>212</v>
      </c>
      <c r="D66" s="363"/>
      <c r="E66" s="363"/>
      <c r="F66" s="363"/>
      <c r="G66" s="363"/>
      <c r="H66" s="363"/>
      <c r="I66" s="363"/>
      <c r="J66" s="363"/>
      <c r="K66" s="363"/>
      <c r="L66" s="363"/>
      <c r="M66" s="363"/>
      <c r="N66" s="363" t="s">
        <v>223</v>
      </c>
      <c r="O66" s="363"/>
      <c r="P66" s="363"/>
      <c r="Q66" s="363"/>
      <c r="R66" s="363"/>
      <c r="S66" s="363"/>
      <c r="T66" s="363" t="s">
        <v>223</v>
      </c>
      <c r="U66" s="363"/>
      <c r="V66" s="363"/>
      <c r="W66" s="363"/>
      <c r="X66" s="363"/>
      <c r="Z66" s="64"/>
      <c r="AB66" s="124" t="s">
        <v>190</v>
      </c>
      <c r="AC66" s="124" t="str">
        <f>"Arus bocor peralatan metode "&amp; $F$40 &amp; " kelas II tipe CF"</f>
        <v>Arus bocor peralatan metode I kelas II tipe CF</v>
      </c>
      <c r="AD66" s="176" t="s">
        <v>79</v>
      </c>
      <c r="AE66" s="124">
        <v>100</v>
      </c>
      <c r="AF66" s="124">
        <v>100</v>
      </c>
      <c r="AG66" s="124">
        <v>500</v>
      </c>
      <c r="AH66" s="181" t="s">
        <v>78</v>
      </c>
      <c r="AI66" s="7"/>
      <c r="AJ66" s="7"/>
      <c r="AK66" s="7"/>
      <c r="AL66" s="7"/>
      <c r="AM66" s="7"/>
      <c r="AU66" s="289" t="s">
        <v>325</v>
      </c>
    </row>
    <row r="67" spans="1:47" ht="17.100000000000001" customHeight="1" x14ac:dyDescent="0.3">
      <c r="A67" s="4"/>
      <c r="B67" s="196"/>
      <c r="C67" s="361" t="s">
        <v>224</v>
      </c>
      <c r="D67" s="361"/>
      <c r="E67" s="361"/>
      <c r="F67" s="361"/>
      <c r="G67" s="361"/>
      <c r="H67" s="361"/>
      <c r="I67" s="361"/>
      <c r="J67" s="361"/>
      <c r="K67" s="361"/>
      <c r="L67" s="361"/>
      <c r="M67" s="361"/>
      <c r="N67" s="362"/>
      <c r="O67" s="362"/>
      <c r="P67" s="362"/>
      <c r="Q67" s="362"/>
      <c r="R67" s="362"/>
      <c r="S67" s="362"/>
      <c r="T67" s="362"/>
      <c r="U67" s="362"/>
      <c r="V67" s="362"/>
      <c r="W67" s="362"/>
      <c r="X67" s="362"/>
      <c r="Z67" s="64"/>
      <c r="AI67" s="7"/>
      <c r="AJ67" s="7"/>
      <c r="AK67" s="7"/>
      <c r="AL67" s="7"/>
      <c r="AM67" s="7"/>
      <c r="AU67" s="289" t="s">
        <v>326</v>
      </c>
    </row>
    <row r="68" spans="1:47" ht="17.100000000000001" customHeight="1" x14ac:dyDescent="0.3">
      <c r="A68" s="4"/>
      <c r="B68" s="196"/>
      <c r="C68" s="363" t="s">
        <v>211</v>
      </c>
      <c r="D68" s="362"/>
      <c r="E68" s="362"/>
      <c r="F68" s="362"/>
      <c r="G68" s="362"/>
      <c r="H68" s="362"/>
      <c r="I68" s="362"/>
      <c r="J68" s="362"/>
      <c r="K68" s="362"/>
      <c r="L68" s="362"/>
      <c r="M68" s="362"/>
      <c r="N68" s="363" t="s">
        <v>225</v>
      </c>
      <c r="O68" s="363"/>
      <c r="P68" s="363"/>
      <c r="Q68" s="363"/>
      <c r="R68" s="363"/>
      <c r="S68" s="363"/>
      <c r="T68" s="363" t="s">
        <v>225</v>
      </c>
      <c r="U68" s="363"/>
      <c r="V68" s="363"/>
      <c r="W68" s="363"/>
      <c r="X68" s="363"/>
      <c r="Z68" s="64"/>
      <c r="AB68" s="3">
        <v>121</v>
      </c>
      <c r="AD68" s="491"/>
      <c r="AE68" s="491"/>
      <c r="AF68" s="491"/>
      <c r="AG68" s="492"/>
      <c r="AH68" s="492"/>
      <c r="AI68" s="492"/>
      <c r="AJ68" s="492"/>
      <c r="AK68" s="7"/>
      <c r="AL68" s="7"/>
      <c r="AM68" s="7"/>
      <c r="AU68" s="289" t="s">
        <v>327</v>
      </c>
    </row>
    <row r="69" spans="1:47" ht="26.25" customHeight="1" x14ac:dyDescent="0.3">
      <c r="A69" s="4"/>
      <c r="B69" s="196"/>
      <c r="C69" s="363" t="s">
        <v>212</v>
      </c>
      <c r="D69" s="363"/>
      <c r="E69" s="363"/>
      <c r="F69" s="363"/>
      <c r="G69" s="363"/>
      <c r="H69" s="363"/>
      <c r="I69" s="363"/>
      <c r="J69" s="363"/>
      <c r="K69" s="363"/>
      <c r="L69" s="363"/>
      <c r="M69" s="363"/>
      <c r="N69" s="363" t="s">
        <v>226</v>
      </c>
      <c r="O69" s="363"/>
      <c r="P69" s="363"/>
      <c r="Q69" s="363"/>
      <c r="R69" s="363"/>
      <c r="S69" s="363"/>
      <c r="T69" s="363" t="s">
        <v>226</v>
      </c>
      <c r="U69" s="363"/>
      <c r="V69" s="363"/>
      <c r="W69" s="363"/>
      <c r="X69" s="363"/>
      <c r="Z69" s="64"/>
      <c r="AB69" s="3">
        <v>134</v>
      </c>
      <c r="AD69" s="491"/>
      <c r="AE69" s="491"/>
      <c r="AF69" s="491"/>
      <c r="AG69" s="375"/>
      <c r="AH69" s="375"/>
      <c r="AI69" s="375"/>
      <c r="AJ69" s="375"/>
      <c r="AK69" s="7"/>
      <c r="AL69" s="7"/>
      <c r="AM69" s="7"/>
      <c r="AU69" s="289" t="s">
        <v>328</v>
      </c>
    </row>
    <row r="70" spans="1:47" ht="17.100000000000001" customHeight="1" x14ac:dyDescent="0.25">
      <c r="A70" s="65"/>
      <c r="Y70" s="64"/>
      <c r="Z70" s="64"/>
      <c r="AB70" s="66"/>
      <c r="AC70" s="66"/>
      <c r="AD70" s="191"/>
      <c r="AE70" s="66"/>
      <c r="AF70" s="183"/>
      <c r="AG70" s="64"/>
      <c r="AI70" s="7"/>
      <c r="AJ70" s="7"/>
      <c r="AK70" s="7"/>
      <c r="AL70" s="7"/>
      <c r="AM70" s="7"/>
      <c r="AU70" s="289" t="s">
        <v>329</v>
      </c>
    </row>
    <row r="71" spans="1:47" ht="17.100000000000001" customHeight="1" x14ac:dyDescent="0.3">
      <c r="A71" s="65"/>
      <c r="Y71" s="64"/>
      <c r="Z71" s="64"/>
      <c r="AB71" s="7"/>
      <c r="AC71" s="7"/>
      <c r="AD71" s="7"/>
      <c r="AE71" s="7"/>
      <c r="AF71" s="7"/>
      <c r="AI71" s="7"/>
      <c r="AJ71" s="7"/>
      <c r="AK71" s="7"/>
      <c r="AL71" s="7"/>
      <c r="AM71" s="7"/>
      <c r="AU71" s="289" t="s">
        <v>330</v>
      </c>
    </row>
    <row r="72" spans="1:47" ht="17.100000000000001" customHeight="1" x14ac:dyDescent="0.3">
      <c r="A72" s="6">
        <v>7</v>
      </c>
      <c r="B72" s="17" t="s">
        <v>83</v>
      </c>
      <c r="Y72" s="64"/>
      <c r="Z72" s="64"/>
      <c r="AB72" s="7"/>
      <c r="AC72" s="7"/>
      <c r="AD72" s="7"/>
      <c r="AE72" s="7"/>
      <c r="AF72" s="7"/>
      <c r="AU72" s="289" t="s">
        <v>331</v>
      </c>
    </row>
    <row r="73" spans="1:47" ht="17.100000000000001" customHeight="1" x14ac:dyDescent="0.25">
      <c r="A73" s="64"/>
      <c r="B73" s="13" t="s">
        <v>85</v>
      </c>
      <c r="H73" s="16"/>
      <c r="I73" s="16"/>
      <c r="J73" s="16"/>
      <c r="P73" s="23"/>
      <c r="Y73" s="64"/>
      <c r="Z73" s="64"/>
      <c r="AB73" s="7"/>
      <c r="AC73" s="7"/>
      <c r="AD73" s="190"/>
      <c r="AE73" s="7"/>
      <c r="AF73" s="180"/>
      <c r="AU73" s="289" t="s">
        <v>332</v>
      </c>
    </row>
    <row r="74" spans="1:47" ht="17.100000000000001" customHeight="1" x14ac:dyDescent="0.25">
      <c r="A74" s="64"/>
      <c r="B74" s="7"/>
      <c r="H74" s="16"/>
      <c r="I74" s="16"/>
      <c r="J74" s="16"/>
      <c r="P74" s="23"/>
      <c r="Y74" s="64"/>
      <c r="Z74" s="64"/>
      <c r="AA74" s="113"/>
      <c r="AB74" s="7"/>
      <c r="AC74" s="7"/>
      <c r="AD74" s="190"/>
      <c r="AE74" s="7"/>
      <c r="AF74" s="180"/>
      <c r="AU74" s="289" t="s">
        <v>333</v>
      </c>
    </row>
    <row r="75" spans="1:47" ht="17.100000000000001" customHeight="1" x14ac:dyDescent="0.25">
      <c r="A75" s="6"/>
      <c r="B75" s="7"/>
      <c r="C75" s="476" t="str">
        <f>IF(('PENGOLAHAN DATA'!K70)&gt;=50,"~","")</f>
        <v>~</v>
      </c>
      <c r="D75" s="477"/>
      <c r="E75" s="475" t="s">
        <v>88</v>
      </c>
      <c r="F75" s="475"/>
      <c r="G75" s="475"/>
      <c r="K75" s="471" t="str">
        <f>IF(('PENGOLAHAN DATA'!K70)&gt;=50,"","~")</f>
        <v/>
      </c>
      <c r="L75" s="472"/>
      <c r="M75" s="470" t="s">
        <v>89</v>
      </c>
      <c r="N75" s="470"/>
      <c r="O75" s="470"/>
      <c r="Z75" s="64"/>
      <c r="AB75" s="7"/>
      <c r="AC75" s="7"/>
      <c r="AD75" s="190"/>
      <c r="AE75" s="7"/>
      <c r="AF75" s="180"/>
      <c r="AU75" s="289" t="s">
        <v>334</v>
      </c>
    </row>
    <row r="76" spans="1:47" ht="17.100000000000001" customHeight="1" x14ac:dyDescent="0.25">
      <c r="B76" s="7"/>
      <c r="C76" s="478"/>
      <c r="D76" s="479"/>
      <c r="E76" s="475"/>
      <c r="F76" s="475"/>
      <c r="G76" s="475"/>
      <c r="K76" s="473"/>
      <c r="L76" s="474"/>
      <c r="M76" s="470"/>
      <c r="N76" s="470"/>
      <c r="O76" s="470"/>
      <c r="AB76" s="7"/>
      <c r="AC76" s="7"/>
      <c r="AD76" s="190"/>
      <c r="AE76" s="7"/>
      <c r="AF76" s="180"/>
      <c r="AU76" s="289" t="s">
        <v>335</v>
      </c>
    </row>
    <row r="77" spans="1:47" ht="17.100000000000001" customHeight="1" x14ac:dyDescent="0.3">
      <c r="AU77" s="289" t="s">
        <v>162</v>
      </c>
    </row>
    <row r="89" spans="15:54" ht="17.100000000000001" customHeight="1" x14ac:dyDescent="0.3">
      <c r="O89" s="3"/>
    </row>
    <row r="90" spans="15:54" ht="17.100000000000001" customHeight="1" x14ac:dyDescent="0.3">
      <c r="O90" s="3"/>
      <c r="BA90" s="7"/>
      <c r="BB90" s="7"/>
    </row>
    <row r="91" spans="15:54" ht="17.100000000000001" customHeight="1" x14ac:dyDescent="0.3">
      <c r="O91" s="3"/>
      <c r="BA91" s="7"/>
      <c r="BB91" s="7"/>
    </row>
    <row r="92" spans="15:54" ht="17.100000000000001" customHeight="1" x14ac:dyDescent="0.3">
      <c r="BA92" s="7"/>
      <c r="BB92" s="7"/>
    </row>
    <row r="93" spans="15:54" ht="17.100000000000001" customHeight="1" x14ac:dyDescent="0.3">
      <c r="BA93" s="7"/>
      <c r="BB93" s="7"/>
    </row>
    <row r="94" spans="15:54" ht="17.100000000000001" customHeight="1" x14ac:dyDescent="0.3">
      <c r="BA94" s="7"/>
      <c r="BB94" s="7"/>
    </row>
    <row r="95" spans="15:54" ht="17.100000000000001" customHeight="1" x14ac:dyDescent="0.3">
      <c r="BA95" s="7"/>
      <c r="BB95" s="7"/>
    </row>
    <row r="96" spans="15:54" ht="17.100000000000001" customHeight="1" x14ac:dyDescent="0.3">
      <c r="BA96" s="7"/>
      <c r="BB96" s="7"/>
    </row>
    <row r="97" spans="53:54" ht="17.100000000000001" customHeight="1" x14ac:dyDescent="0.3">
      <c r="BA97" s="7"/>
      <c r="BB97" s="7"/>
    </row>
    <row r="98" spans="53:54" ht="17.100000000000001" customHeight="1" x14ac:dyDescent="0.3">
      <c r="BA98" s="7"/>
      <c r="BB98" s="7"/>
    </row>
    <row r="123" spans="53:57" ht="17.100000000000001" customHeight="1" x14ac:dyDescent="0.3">
      <c r="BA123" s="179"/>
      <c r="BB123" s="179"/>
      <c r="BC123" s="179"/>
      <c r="BD123" s="179"/>
      <c r="BE123" s="179"/>
    </row>
    <row r="124" spans="53:57" ht="17.100000000000001" customHeight="1" x14ac:dyDescent="0.3">
      <c r="BA124" s="178"/>
      <c r="BB124" s="178"/>
    </row>
  </sheetData>
  <mergeCells count="177">
    <mergeCell ref="AD68:AF68"/>
    <mergeCell ref="AG68:AJ68"/>
    <mergeCell ref="AD69:AF69"/>
    <mergeCell ref="AG69:AJ69"/>
    <mergeCell ref="C56:E56"/>
    <mergeCell ref="F56:H56"/>
    <mergeCell ref="I56:L56"/>
    <mergeCell ref="M56:P56"/>
    <mergeCell ref="Q56:T56"/>
    <mergeCell ref="U56:X56"/>
    <mergeCell ref="C64:M64"/>
    <mergeCell ref="N64:S64"/>
    <mergeCell ref="T64:X64"/>
    <mergeCell ref="C68:M68"/>
    <mergeCell ref="N68:S68"/>
    <mergeCell ref="T68:X68"/>
    <mergeCell ref="C69:M69"/>
    <mergeCell ref="N69:S69"/>
    <mergeCell ref="T69:X69"/>
    <mergeCell ref="C60:M60"/>
    <mergeCell ref="N60:S60"/>
    <mergeCell ref="T60:X60"/>
    <mergeCell ref="C61:M61"/>
    <mergeCell ref="N61:S61"/>
    <mergeCell ref="M75:O76"/>
    <mergeCell ref="K75:L76"/>
    <mergeCell ref="E75:G76"/>
    <mergeCell ref="C75:D76"/>
    <mergeCell ref="AE57:AG57"/>
    <mergeCell ref="AE62:AG62"/>
    <mergeCell ref="AA44:AA49"/>
    <mergeCell ref="AM49:AO49"/>
    <mergeCell ref="AB50:AL50"/>
    <mergeCell ref="AC52:AL52"/>
    <mergeCell ref="AC53:AL53"/>
    <mergeCell ref="AC54:AL54"/>
    <mergeCell ref="AC55:AL55"/>
    <mergeCell ref="AK57:AM57"/>
    <mergeCell ref="C46:O46"/>
    <mergeCell ref="D44:O44"/>
    <mergeCell ref="D45:O45"/>
    <mergeCell ref="C54:H54"/>
    <mergeCell ref="I54:X54"/>
    <mergeCell ref="C55:E55"/>
    <mergeCell ref="F55:H55"/>
    <mergeCell ref="I55:L55"/>
    <mergeCell ref="M55:P55"/>
    <mergeCell ref="Q55:T55"/>
    <mergeCell ref="AM43:AO43"/>
    <mergeCell ref="AC44:AL44"/>
    <mergeCell ref="AC45:AL45"/>
    <mergeCell ref="AC46:AL46"/>
    <mergeCell ref="AB43:AL43"/>
    <mergeCell ref="AC51:AL51"/>
    <mergeCell ref="AM50:AO50"/>
    <mergeCell ref="AC47:AL47"/>
    <mergeCell ref="AC48:AL48"/>
    <mergeCell ref="AM41:AO41"/>
    <mergeCell ref="U34:X34"/>
    <mergeCell ref="U35:X35"/>
    <mergeCell ref="U32:X32"/>
    <mergeCell ref="U33:X33"/>
    <mergeCell ref="AB42:AL42"/>
    <mergeCell ref="C36:G36"/>
    <mergeCell ref="H36:T36"/>
    <mergeCell ref="U36:X36"/>
    <mergeCell ref="AB41:AL41"/>
    <mergeCell ref="H35:T35"/>
    <mergeCell ref="C35:G35"/>
    <mergeCell ref="H34:T34"/>
    <mergeCell ref="C34:G34"/>
    <mergeCell ref="H33:T33"/>
    <mergeCell ref="C33:G33"/>
    <mergeCell ref="H32:T32"/>
    <mergeCell ref="C32:G32"/>
    <mergeCell ref="B39:D39"/>
    <mergeCell ref="B40:D40"/>
    <mergeCell ref="C42:O42"/>
    <mergeCell ref="P42:T42"/>
    <mergeCell ref="U42:X42"/>
    <mergeCell ref="I1:Y2"/>
    <mergeCell ref="I3:Y4"/>
    <mergeCell ref="F10:M10"/>
    <mergeCell ref="S10:X10"/>
    <mergeCell ref="S11:X11"/>
    <mergeCell ref="S12:X12"/>
    <mergeCell ref="I16:L16"/>
    <mergeCell ref="M16:P16"/>
    <mergeCell ref="Q16:T16"/>
    <mergeCell ref="U16:X16"/>
    <mergeCell ref="F7:M7"/>
    <mergeCell ref="N7:R7"/>
    <mergeCell ref="S7:X7"/>
    <mergeCell ref="S8:X8"/>
    <mergeCell ref="S9:X9"/>
    <mergeCell ref="H31:T31"/>
    <mergeCell ref="U31:X31"/>
    <mergeCell ref="U23:X23"/>
    <mergeCell ref="B7:E7"/>
    <mergeCell ref="B12:E12"/>
    <mergeCell ref="B11:E11"/>
    <mergeCell ref="B10:E10"/>
    <mergeCell ref="B8:E8"/>
    <mergeCell ref="F8:M8"/>
    <mergeCell ref="F11:H11"/>
    <mergeCell ref="C23:J23"/>
    <mergeCell ref="K23:O23"/>
    <mergeCell ref="F12:H12"/>
    <mergeCell ref="C16:H16"/>
    <mergeCell ref="B9:E9"/>
    <mergeCell ref="F9:M9"/>
    <mergeCell ref="U17:X17"/>
    <mergeCell ref="U24:X24"/>
    <mergeCell ref="Q18:T18"/>
    <mergeCell ref="S13:X13"/>
    <mergeCell ref="C22:J22"/>
    <mergeCell ref="K22:O22"/>
    <mergeCell ref="P22:T22"/>
    <mergeCell ref="U22:X22"/>
    <mergeCell ref="U18:X18"/>
    <mergeCell ref="C24:J24"/>
    <mergeCell ref="C17:H17"/>
    <mergeCell ref="I17:L17"/>
    <mergeCell ref="M17:P17"/>
    <mergeCell ref="Q17:T17"/>
    <mergeCell ref="K24:O24"/>
    <mergeCell ref="P24:T24"/>
    <mergeCell ref="C18:H18"/>
    <mergeCell ref="I18:L18"/>
    <mergeCell ref="M18:P18"/>
    <mergeCell ref="P23:T23"/>
    <mergeCell ref="C19:H19"/>
    <mergeCell ref="I19:L19"/>
    <mergeCell ref="M19:P19"/>
    <mergeCell ref="Q19:T19"/>
    <mergeCell ref="D43:O43"/>
    <mergeCell ref="U19:X19"/>
    <mergeCell ref="C65:M65"/>
    <mergeCell ref="N65:S65"/>
    <mergeCell ref="T65:X65"/>
    <mergeCell ref="C66:M66"/>
    <mergeCell ref="N66:S66"/>
    <mergeCell ref="T66:X66"/>
    <mergeCell ref="P43:R43"/>
    <mergeCell ref="P44:R44"/>
    <mergeCell ref="P45:R45"/>
    <mergeCell ref="P46:R46"/>
    <mergeCell ref="V43:W43"/>
    <mergeCell ref="V44:W44"/>
    <mergeCell ref="V45:W45"/>
    <mergeCell ref="V46:W46"/>
    <mergeCell ref="N59:S59"/>
    <mergeCell ref="T59:X59"/>
    <mergeCell ref="C25:J25"/>
    <mergeCell ref="M25:N25"/>
    <mergeCell ref="C30:G30"/>
    <mergeCell ref="H30:T30"/>
    <mergeCell ref="U30:X30"/>
    <mergeCell ref="C31:G31"/>
    <mergeCell ref="C67:M67"/>
    <mergeCell ref="N67:S67"/>
    <mergeCell ref="T67:X67"/>
    <mergeCell ref="C62:M62"/>
    <mergeCell ref="N62:S62"/>
    <mergeCell ref="T62:X62"/>
    <mergeCell ref="C63:M63"/>
    <mergeCell ref="U55:X55"/>
    <mergeCell ref="C57:E57"/>
    <mergeCell ref="F57:H57"/>
    <mergeCell ref="I57:L57"/>
    <mergeCell ref="M57:P57"/>
    <mergeCell ref="Q57:T57"/>
    <mergeCell ref="U57:X57"/>
    <mergeCell ref="N63:S63"/>
    <mergeCell ref="T63:X63"/>
    <mergeCell ref="C59:M59"/>
    <mergeCell ref="T61:X61"/>
  </mergeCells>
  <conditionalFormatting sqref="C75:D76">
    <cfRule type="containsText" dxfId="3" priority="2" operator="containsText" text="~">
      <formula>NOT(ISERROR(SEARCH("~",C75)))</formula>
    </cfRule>
    <cfRule type="containsText" dxfId="2" priority="5" operator="containsText" text="~">
      <formula>NOT(ISERROR(SEARCH("~",C75)))</formula>
    </cfRule>
  </conditionalFormatting>
  <conditionalFormatting sqref="K75:L76">
    <cfRule type="containsText" dxfId="1" priority="3" operator="containsText" text="~">
      <formula>NOT(ISERROR(SEARCH("~",K75)))</formula>
    </cfRule>
    <cfRule type="containsText" dxfId="0" priority="4" operator="containsText" text="~">
      <formula>NOT(ISERROR(SEARCH("~",K75)))</formula>
    </cfRule>
  </conditionalFormatting>
  <dataValidations count="2">
    <dataValidation type="list" allowBlank="1" showInputMessage="1" showErrorMessage="1" sqref="S7:X7" xr:uid="{425C267F-3DB6-49EE-956D-84BA4D04C45A}">
      <formula1>$AU$41:$AU$77</formula1>
    </dataValidation>
    <dataValidation type="list" allowBlank="1" showInputMessage="1" showErrorMessage="1" sqref="F57:H57" xr:uid="{C00C1AE8-BCE2-4778-BF2C-2F247DF96A16}">
      <formula1>$AB$68:$AB$69</formula1>
    </dataValidation>
  </dataValidations>
  <pageMargins left="0.7" right="0.7" top="0.75" bottom="0.75" header="0.3" footer="0.3"/>
  <pageSetup scale="44" orientation="portrait" r:id="rId1"/>
  <rowBreaks count="1" manualBreakCount="1">
    <brk id="79" max="25" man="1"/>
  </rowBreaks>
  <colBreaks count="1" manualBreakCount="1">
    <brk id="2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CC252-5DE2-40B3-9AF0-2C59C7791FA3}">
  <dimension ref="A1:AF1048523"/>
  <sheetViews>
    <sheetView topLeftCell="A40" zoomScale="43" zoomScaleNormal="100" workbookViewId="0">
      <selection activeCell="AE61" sqref="AE61"/>
    </sheetView>
  </sheetViews>
  <sheetFormatPr defaultColWidth="3.44140625" defaultRowHeight="13.8" x14ac:dyDescent="0.25"/>
  <cols>
    <col min="1" max="6" width="4.21875" style="25" customWidth="1"/>
    <col min="7" max="7" width="12.44140625" style="25" customWidth="1"/>
    <col min="8" max="8" width="7" style="25" customWidth="1"/>
    <col min="9" max="13" width="4.21875" style="25" customWidth="1"/>
    <col min="14" max="14" width="5.21875" style="25" customWidth="1"/>
    <col min="15" max="16" width="4.21875" style="25" customWidth="1"/>
    <col min="17" max="17" width="8.21875" style="25" customWidth="1"/>
    <col min="18" max="18" width="8.44140625" style="25" bestFit="1" customWidth="1"/>
    <col min="19" max="20" width="5.77734375" style="25" bestFit="1" customWidth="1"/>
    <col min="21" max="28" width="4.21875" style="25" customWidth="1"/>
    <col min="29" max="29" width="6" style="25" customWidth="1"/>
    <col min="30" max="32" width="4.21875" style="25" customWidth="1"/>
    <col min="33" max="33" width="5.5546875" style="25" customWidth="1"/>
    <col min="34" max="35" width="4.44140625" style="25" customWidth="1"/>
    <col min="36" max="36" width="5.21875" style="25" customWidth="1"/>
    <col min="37" max="16384" width="3.44140625" style="25"/>
  </cols>
  <sheetData>
    <row r="1" spans="1:32" ht="20.100000000000001" customHeight="1" x14ac:dyDescent="0.25">
      <c r="A1" s="585" t="s">
        <v>93</v>
      </c>
      <c r="B1" s="585"/>
      <c r="C1" s="585"/>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row>
    <row r="2" spans="1:32" ht="20.100000000000001" customHeight="1" x14ac:dyDescent="0.25">
      <c r="A2" s="585" t="s">
        <v>94</v>
      </c>
      <c r="B2" s="585"/>
      <c r="C2" s="585"/>
      <c r="D2" s="585"/>
      <c r="E2" s="585"/>
      <c r="F2" s="585"/>
      <c r="G2" s="585"/>
      <c r="H2" s="585"/>
      <c r="I2" s="585"/>
      <c r="J2" s="585"/>
      <c r="K2" s="585"/>
      <c r="L2" s="585"/>
      <c r="M2" s="585"/>
      <c r="N2" s="585"/>
      <c r="O2" s="585"/>
      <c r="P2" s="585"/>
      <c r="Q2" s="585"/>
      <c r="R2" s="585"/>
      <c r="S2" s="585"/>
      <c r="T2" s="585"/>
      <c r="U2" s="585"/>
      <c r="V2" s="585"/>
      <c r="W2" s="585"/>
      <c r="X2" s="585"/>
      <c r="Y2" s="585"/>
      <c r="Z2" s="585"/>
      <c r="AA2" s="585"/>
      <c r="AB2" s="585"/>
      <c r="AC2" s="585"/>
      <c r="AD2" s="585"/>
      <c r="AE2" s="585"/>
      <c r="AF2" s="585"/>
    </row>
    <row r="3" spans="1:32" ht="20.100000000000001" customHeight="1" x14ac:dyDescent="0.25">
      <c r="A3" s="585" t="s">
        <v>1</v>
      </c>
      <c r="B3" s="585"/>
      <c r="C3" s="585"/>
      <c r="D3" s="585"/>
      <c r="E3" s="585"/>
      <c r="F3" s="585"/>
      <c r="G3" s="585"/>
      <c r="H3" s="585"/>
      <c r="I3" s="585"/>
      <c r="J3" s="585"/>
      <c r="K3" s="585"/>
      <c r="L3" s="585"/>
      <c r="M3" s="585"/>
      <c r="N3" s="585"/>
      <c r="O3" s="585"/>
      <c r="P3" s="585"/>
      <c r="Q3" s="585"/>
      <c r="R3" s="585"/>
      <c r="S3" s="585"/>
      <c r="T3" s="585"/>
      <c r="U3" s="585"/>
      <c r="V3" s="585"/>
      <c r="W3" s="585"/>
      <c r="X3" s="585"/>
      <c r="Y3" s="585"/>
      <c r="Z3" s="585"/>
      <c r="AA3" s="585"/>
      <c r="AB3" s="585"/>
      <c r="AC3" s="585"/>
      <c r="AD3" s="585"/>
      <c r="AE3" s="585"/>
      <c r="AF3" s="585"/>
    </row>
    <row r="4" spans="1:32" s="24" customFormat="1" x14ac:dyDescent="0.25">
      <c r="A4" s="26" t="s">
        <v>2</v>
      </c>
      <c r="B4" s="27" t="s">
        <v>95</v>
      </c>
    </row>
    <row r="5" spans="1:32" x14ac:dyDescent="0.25">
      <c r="B5" s="28" t="s">
        <v>4</v>
      </c>
      <c r="C5" s="29" t="str">
        <f>'LEMBAR KERJA'!N7</f>
        <v>Nama Pelayanan</v>
      </c>
      <c r="D5" s="30"/>
      <c r="E5" s="30"/>
      <c r="F5" s="30"/>
      <c r="G5" s="30"/>
      <c r="J5" s="25" t="s">
        <v>6</v>
      </c>
      <c r="K5" s="574" t="str">
        <f>'LEMBAR KERJA'!S7</f>
        <v>Instalasi sterilisasi pusat</v>
      </c>
      <c r="L5" s="574"/>
      <c r="M5" s="574"/>
      <c r="N5" s="574"/>
      <c r="O5" s="574"/>
      <c r="P5" s="574"/>
      <c r="Q5" s="574"/>
      <c r="R5" s="574"/>
      <c r="S5" s="574"/>
      <c r="T5" s="574"/>
      <c r="U5" s="574"/>
      <c r="V5" s="31"/>
      <c r="W5" s="24"/>
      <c r="X5" s="24"/>
      <c r="Y5" s="32"/>
      <c r="Z5" s="33"/>
      <c r="AA5" s="24"/>
      <c r="AB5" s="34"/>
      <c r="AF5" s="32"/>
    </row>
    <row r="6" spans="1:32" x14ac:dyDescent="0.25">
      <c r="B6" s="28" t="s">
        <v>8</v>
      </c>
      <c r="C6" s="29" t="str">
        <f>'LEMBAR KERJA'!B8</f>
        <v>Merk</v>
      </c>
      <c r="D6" s="30"/>
      <c r="E6" s="30"/>
      <c r="F6" s="30"/>
      <c r="G6" s="30"/>
      <c r="J6" s="25" t="s">
        <v>6</v>
      </c>
      <c r="K6" s="574" t="str">
        <f>'LEMBAR KERJA'!F8</f>
        <v>LOKAL</v>
      </c>
      <c r="L6" s="574"/>
      <c r="M6" s="574"/>
      <c r="N6" s="574"/>
      <c r="O6" s="574"/>
      <c r="P6" s="574"/>
      <c r="Q6" s="574"/>
      <c r="R6" s="574"/>
      <c r="S6" s="574"/>
      <c r="T6" s="574"/>
      <c r="U6" s="574"/>
      <c r="V6" s="24"/>
      <c r="W6" s="24"/>
      <c r="X6" s="24"/>
      <c r="Y6" s="24"/>
      <c r="Z6" s="24"/>
      <c r="AA6" s="24"/>
      <c r="AB6" s="24"/>
    </row>
    <row r="7" spans="1:32" x14ac:dyDescent="0.25">
      <c r="B7" s="28" t="s">
        <v>10</v>
      </c>
      <c r="C7" s="29" t="str">
        <f>'LEMBAR KERJA'!B9</f>
        <v>Tipe</v>
      </c>
      <c r="D7" s="30"/>
      <c r="E7" s="30"/>
      <c r="F7" s="30"/>
      <c r="G7" s="30"/>
      <c r="J7" s="25" t="s">
        <v>6</v>
      </c>
      <c r="K7" s="586" t="str">
        <f>'LEMBAR KERJA'!F9</f>
        <v>YA28X6T/8</v>
      </c>
      <c r="L7" s="574"/>
      <c r="M7" s="574"/>
      <c r="N7" s="574"/>
      <c r="O7" s="574"/>
      <c r="P7" s="574"/>
      <c r="Q7" s="574"/>
      <c r="R7" s="574"/>
      <c r="S7" s="574"/>
      <c r="T7" s="574"/>
      <c r="U7" s="574"/>
      <c r="V7" s="24"/>
      <c r="W7" s="24"/>
      <c r="X7" s="24"/>
      <c r="Y7" s="24"/>
      <c r="Z7" s="24"/>
      <c r="AA7" s="24"/>
      <c r="AB7" s="24"/>
    </row>
    <row r="8" spans="1:32" x14ac:dyDescent="0.25">
      <c r="B8" s="28" t="s">
        <v>14</v>
      </c>
      <c r="C8" s="29" t="str">
        <f>'LEMBAR KERJA'!B10</f>
        <v>Nomor Seri</v>
      </c>
      <c r="D8" s="30"/>
      <c r="E8" s="30"/>
      <c r="F8" s="30"/>
      <c r="G8" s="30"/>
      <c r="J8" s="25" t="s">
        <v>6</v>
      </c>
      <c r="K8" s="574" t="str">
        <f>'LEMBAR KERJA'!F10</f>
        <v>A250705-510</v>
      </c>
      <c r="L8" s="574"/>
      <c r="M8" s="574"/>
      <c r="N8" s="574"/>
      <c r="O8" s="574"/>
      <c r="P8" s="574"/>
      <c r="Q8" s="574"/>
      <c r="R8" s="574"/>
      <c r="S8" s="574"/>
      <c r="T8" s="574"/>
      <c r="U8" s="574"/>
      <c r="V8" s="24"/>
      <c r="W8" s="24"/>
      <c r="X8" s="24"/>
      <c r="Y8" s="24"/>
      <c r="Z8" s="24"/>
      <c r="AA8" s="24"/>
      <c r="AB8" s="24"/>
    </row>
    <row r="9" spans="1:32" x14ac:dyDescent="0.25">
      <c r="B9" s="36" t="s">
        <v>17</v>
      </c>
      <c r="C9" s="29" t="str">
        <f>'LEMBAR KERJA'!B11</f>
        <v>Resolusi Alat</v>
      </c>
      <c r="D9" s="30"/>
      <c r="E9" s="30"/>
      <c r="F9" s="30"/>
      <c r="G9" s="30"/>
      <c r="J9" s="25" t="s">
        <v>6</v>
      </c>
      <c r="K9" s="40">
        <f>'LEMBAR KERJA'!F11</f>
        <v>0.1</v>
      </c>
      <c r="L9" s="40" t="str">
        <f>'LEMBAR KERJA'!I11</f>
        <v>°C</v>
      </c>
      <c r="V9" s="24"/>
      <c r="W9" s="24"/>
      <c r="X9" s="24"/>
      <c r="Y9" s="24"/>
      <c r="Z9" s="24"/>
      <c r="AA9" s="24"/>
      <c r="AB9" s="24"/>
    </row>
    <row r="10" spans="1:32" x14ac:dyDescent="0.25">
      <c r="B10" s="28" t="s">
        <v>19</v>
      </c>
      <c r="C10" s="29" t="str">
        <f>'LEMBAR KERJA'!B7</f>
        <v>Nama Faskes</v>
      </c>
      <c r="D10" s="30"/>
      <c r="E10" s="30"/>
      <c r="F10" s="30"/>
      <c r="G10" s="30"/>
      <c r="J10" s="25" t="s">
        <v>6</v>
      </c>
      <c r="K10" s="574" t="str">
        <f>'LEMBAR KERJA'!F7</f>
        <v>Klinik Pratama Ocean Dental  Radio Dalam</v>
      </c>
      <c r="L10" s="574"/>
      <c r="M10" s="574"/>
      <c r="N10" s="574"/>
      <c r="O10" s="574"/>
      <c r="P10" s="574"/>
      <c r="Q10" s="574"/>
      <c r="R10" s="574"/>
      <c r="S10" s="574"/>
      <c r="T10" s="574"/>
      <c r="U10" s="574"/>
    </row>
    <row r="11" spans="1:32" x14ac:dyDescent="0.25">
      <c r="B11" s="28" t="s">
        <v>22</v>
      </c>
      <c r="C11" s="29" t="str">
        <f>'LEMBAR KERJA'!N8</f>
        <v>Ruangan Kalibrasi</v>
      </c>
      <c r="D11" s="30"/>
      <c r="E11" s="30"/>
      <c r="F11" s="30"/>
      <c r="G11" s="30"/>
      <c r="J11" s="25" t="s">
        <v>6</v>
      </c>
      <c r="K11" s="574" t="str">
        <f>'LEMBAR KERJA'!S8</f>
        <v>STERILISASI</v>
      </c>
      <c r="L11" s="574"/>
      <c r="M11" s="574"/>
      <c r="N11" s="574"/>
      <c r="O11" s="574"/>
      <c r="P11" s="574"/>
      <c r="Q11" s="574"/>
      <c r="R11" s="574"/>
      <c r="S11" s="574"/>
      <c r="T11" s="574"/>
      <c r="U11" s="574"/>
    </row>
    <row r="12" spans="1:32" x14ac:dyDescent="0.25">
      <c r="B12" s="28" t="s">
        <v>7</v>
      </c>
      <c r="C12" s="29" t="str">
        <f>'LEMBAR KERJA'!N9</f>
        <v>Tanggal Penerimaan</v>
      </c>
      <c r="D12" s="30"/>
      <c r="E12" s="30"/>
      <c r="F12" s="30"/>
      <c r="G12" s="30"/>
      <c r="J12" s="25" t="s">
        <v>6</v>
      </c>
      <c r="K12" s="574" t="str">
        <f>'LEMBAR KERJA'!S9</f>
        <v>02 JUL 2026</v>
      </c>
      <c r="L12" s="574"/>
      <c r="M12" s="574"/>
      <c r="N12" s="574"/>
      <c r="O12" s="574"/>
      <c r="P12" s="574"/>
      <c r="Q12" s="574"/>
      <c r="R12" s="574"/>
      <c r="S12" s="574"/>
      <c r="T12" s="574"/>
      <c r="U12" s="574"/>
    </row>
    <row r="13" spans="1:32" x14ac:dyDescent="0.25">
      <c r="B13" s="28" t="s">
        <v>9</v>
      </c>
      <c r="C13" s="29" t="str">
        <f>'LEMBAR KERJA'!N10</f>
        <v>Tanggal Kalibrasi</v>
      </c>
      <c r="D13" s="30"/>
      <c r="E13" s="30"/>
      <c r="F13" s="30"/>
      <c r="G13" s="30"/>
      <c r="J13" s="25" t="s">
        <v>6</v>
      </c>
      <c r="K13" s="574" t="str">
        <f>'LEMBAR KERJA'!S10</f>
        <v>02 JUL 2026</v>
      </c>
      <c r="L13" s="574"/>
      <c r="M13" s="574"/>
      <c r="N13" s="574"/>
      <c r="O13" s="574"/>
      <c r="P13" s="574"/>
      <c r="Q13" s="574"/>
      <c r="R13" s="574"/>
      <c r="S13" s="574"/>
      <c r="T13" s="574"/>
      <c r="U13" s="574"/>
    </row>
    <row r="14" spans="1:32" x14ac:dyDescent="0.25">
      <c r="B14" s="28" t="s">
        <v>12</v>
      </c>
      <c r="C14" s="29" t="str">
        <f>'LEMBAR KERJA'!N11</f>
        <v>Pelaksana Teknis</v>
      </c>
      <c r="D14" s="30"/>
      <c r="E14" s="30"/>
      <c r="F14" s="30"/>
      <c r="G14" s="30"/>
      <c r="J14" s="25" t="s">
        <v>6</v>
      </c>
      <c r="K14" s="574" t="str">
        <f>'LEMBAR KERJA'!S11</f>
        <v>MARSHEL ASYRAF DALTAFIKA</v>
      </c>
      <c r="L14" s="574"/>
      <c r="M14" s="574"/>
      <c r="N14" s="574"/>
      <c r="O14" s="574"/>
      <c r="P14" s="574"/>
      <c r="Q14" s="574"/>
      <c r="R14" s="574"/>
      <c r="S14" s="574"/>
      <c r="T14" s="574"/>
      <c r="U14" s="574"/>
    </row>
    <row r="15" spans="1:32" x14ac:dyDescent="0.25">
      <c r="B15" s="28"/>
      <c r="C15" s="29"/>
      <c r="D15" s="30"/>
      <c r="E15" s="30"/>
      <c r="F15" s="30"/>
      <c r="G15" s="30"/>
      <c r="K15" s="125"/>
      <c r="L15" s="125"/>
      <c r="M15" s="125"/>
      <c r="N15" s="125"/>
      <c r="O15" s="125"/>
      <c r="P15" s="125"/>
      <c r="Q15" s="125"/>
      <c r="R15" s="125"/>
      <c r="S15" s="125"/>
      <c r="T15" s="37"/>
      <c r="U15" s="37"/>
    </row>
    <row r="16" spans="1:32" s="24" customFormat="1" x14ac:dyDescent="0.25">
      <c r="A16" s="26" t="s">
        <v>25</v>
      </c>
      <c r="B16" s="27" t="s">
        <v>96</v>
      </c>
    </row>
    <row r="17" spans="1:32" x14ac:dyDescent="0.25">
      <c r="B17" s="38" t="s">
        <v>27</v>
      </c>
      <c r="C17" s="575" t="str">
        <f>'LEMBAR KERJA'!C16</f>
        <v>Nama Alat</v>
      </c>
      <c r="D17" s="576"/>
      <c r="E17" s="576"/>
      <c r="F17" s="576"/>
      <c r="G17" s="576"/>
      <c r="H17" s="576"/>
      <c r="I17" s="576"/>
      <c r="J17" s="576"/>
      <c r="K17" s="575" t="str">
        <f>'LEMBAR KERJA'!I16</f>
        <v>Merk</v>
      </c>
      <c r="L17" s="576"/>
      <c r="M17" s="576"/>
      <c r="N17" s="576"/>
      <c r="O17" s="576"/>
      <c r="P17" s="575" t="str">
        <f>'LEMBAR KERJA'!M16</f>
        <v>Tipe</v>
      </c>
      <c r="Q17" s="576"/>
      <c r="R17" s="576"/>
      <c r="S17" s="576"/>
      <c r="T17" s="576"/>
      <c r="U17" s="575" t="str">
        <f>'LEMBAR KERJA'!Q16</f>
        <v>No. Seri</v>
      </c>
      <c r="V17" s="576"/>
      <c r="W17" s="576"/>
      <c r="X17" s="576"/>
      <c r="Y17" s="588"/>
      <c r="Z17" s="587" t="str">
        <f>'LEMBAR KERJA'!U16</f>
        <v>Ketertelusuran</v>
      </c>
      <c r="AA17" s="587"/>
      <c r="AB17" s="587"/>
      <c r="AC17" s="587"/>
      <c r="AD17" s="24"/>
      <c r="AE17" s="24"/>
    </row>
    <row r="18" spans="1:32" x14ac:dyDescent="0.25">
      <c r="B18" s="39">
        <v>2</v>
      </c>
      <c r="C18" s="589" t="str">
        <f>'LEMBAR KERJA'!C17</f>
        <v>Electrical Safety Analyzer</v>
      </c>
      <c r="D18" s="590"/>
      <c r="E18" s="590"/>
      <c r="F18" s="590"/>
      <c r="G18" s="590"/>
      <c r="H18" s="590"/>
      <c r="I18" s="590"/>
      <c r="J18" s="590"/>
      <c r="K18" s="591" t="str">
        <f>'LEMBAR KERJA'!I17</f>
        <v xml:space="preserve">RIGEL </v>
      </c>
      <c r="L18" s="590"/>
      <c r="M18" s="590"/>
      <c r="N18" s="590"/>
      <c r="O18" s="590"/>
      <c r="P18" s="591" t="str">
        <f>'LEMBAR KERJA'!M17</f>
        <v>288 PLUS</v>
      </c>
      <c r="Q18" s="590"/>
      <c r="R18" s="590"/>
      <c r="S18" s="590"/>
      <c r="T18" s="590"/>
      <c r="U18" s="591" t="str">
        <f>'LEMBAR KERJA'!Q17</f>
        <v>17Q-1323</v>
      </c>
      <c r="V18" s="590"/>
      <c r="W18" s="590"/>
      <c r="X18" s="590"/>
      <c r="Y18" s="592"/>
      <c r="Z18" s="597" t="str">
        <f>'LEMBAR KERJA'!U17</f>
        <v>LK-032-IDN</v>
      </c>
      <c r="AA18" s="597"/>
      <c r="AB18" s="597"/>
      <c r="AC18" s="597"/>
      <c r="AD18" s="24"/>
      <c r="AE18" s="24"/>
      <c r="AF18" s="40"/>
    </row>
    <row r="19" spans="1:32" x14ac:dyDescent="0.25">
      <c r="B19" s="39">
        <v>3</v>
      </c>
      <c r="C19" s="589" t="str">
        <f>'LEMBAR KERJA'!C18</f>
        <v>Thermohygrometer</v>
      </c>
      <c r="D19" s="590"/>
      <c r="E19" s="590"/>
      <c r="F19" s="590"/>
      <c r="G19" s="590"/>
      <c r="H19" s="590"/>
      <c r="I19" s="590"/>
      <c r="J19" s="590"/>
      <c r="K19" s="591" t="str">
        <f>'LEMBAR KERJA'!I18</f>
        <v>-</v>
      </c>
      <c r="L19" s="590"/>
      <c r="M19" s="590"/>
      <c r="N19" s="590"/>
      <c r="O19" s="590"/>
      <c r="P19" s="591" t="str">
        <f>'LEMBAR KERJA'!M18</f>
        <v>HTC-1</v>
      </c>
      <c r="Q19" s="590"/>
      <c r="R19" s="590"/>
      <c r="S19" s="590"/>
      <c r="T19" s="590"/>
      <c r="U19" s="591" t="str">
        <f>'LEMBAR KERJA'!Q18</f>
        <v>RKS-THG-010</v>
      </c>
      <c r="V19" s="590"/>
      <c r="W19" s="590"/>
      <c r="X19" s="590"/>
      <c r="Y19" s="592"/>
      <c r="Z19" s="597" t="str">
        <f>'LEMBAR KERJA'!U18</f>
        <v>LK-385-IDN</v>
      </c>
      <c r="AA19" s="597"/>
      <c r="AB19" s="597"/>
      <c r="AC19" s="597"/>
      <c r="AD19" s="24"/>
      <c r="AE19" s="24"/>
      <c r="AF19" s="40"/>
    </row>
    <row r="20" spans="1:32" x14ac:dyDescent="0.25">
      <c r="K20" s="40"/>
      <c r="AA20" s="24"/>
      <c r="AB20" s="24"/>
      <c r="AC20" s="24"/>
      <c r="AD20" s="24"/>
      <c r="AE20" s="24"/>
    </row>
    <row r="21" spans="1:32" s="24" customFormat="1" x14ac:dyDescent="0.25">
      <c r="A21" s="26" t="s">
        <v>36</v>
      </c>
      <c r="B21" s="27" t="s">
        <v>170</v>
      </c>
    </row>
    <row r="22" spans="1:32" s="41" customFormat="1" ht="43.5" customHeight="1" x14ac:dyDescent="0.3">
      <c r="B22" s="42" t="s">
        <v>27</v>
      </c>
      <c r="C22" s="596" t="s">
        <v>37</v>
      </c>
      <c r="D22" s="596"/>
      <c r="E22" s="596"/>
      <c r="F22" s="596"/>
      <c r="G22" s="596"/>
      <c r="H22" s="596"/>
      <c r="I22" s="596"/>
      <c r="J22" s="596"/>
      <c r="K22" s="593" t="s">
        <v>40</v>
      </c>
      <c r="L22" s="594"/>
      <c r="M22" s="594"/>
      <c r="N22" s="594"/>
      <c r="O22" s="595"/>
      <c r="P22" s="593" t="s">
        <v>42</v>
      </c>
      <c r="Q22" s="594"/>
      <c r="R22" s="594"/>
      <c r="S22" s="594"/>
      <c r="T22" s="595"/>
      <c r="U22" s="593" t="s">
        <v>110</v>
      </c>
      <c r="V22" s="594"/>
      <c r="W22" s="595"/>
      <c r="X22" s="593" t="s">
        <v>97</v>
      </c>
      <c r="Y22" s="594"/>
      <c r="Z22" s="595"/>
      <c r="AA22" s="593" t="s">
        <v>98</v>
      </c>
      <c r="AB22" s="594"/>
      <c r="AC22" s="595"/>
      <c r="AD22" s="593" t="s">
        <v>99</v>
      </c>
      <c r="AE22" s="594"/>
      <c r="AF22" s="595"/>
    </row>
    <row r="23" spans="1:32" ht="15" customHeight="1" x14ac:dyDescent="0.25">
      <c r="B23" s="39">
        <v>1</v>
      </c>
      <c r="C23" s="577" t="str">
        <f>'LEMBAR KERJA'!C23</f>
        <v>Suhu Ruangan (°C)</v>
      </c>
      <c r="D23" s="577"/>
      <c r="E23" s="577"/>
      <c r="F23" s="577"/>
      <c r="G23" s="577"/>
      <c r="H23" s="577"/>
      <c r="I23" s="577"/>
      <c r="J23" s="577"/>
      <c r="K23" s="578">
        <f>'LEMBAR KERJA'!K23</f>
        <v>24.5</v>
      </c>
      <c r="L23" s="579"/>
      <c r="M23" s="579"/>
      <c r="N23" s="580" t="s">
        <v>41</v>
      </c>
      <c r="O23" s="581"/>
      <c r="P23" s="578">
        <f>'LEMBAR KERJA'!P23</f>
        <v>24.6</v>
      </c>
      <c r="Q23" s="579"/>
      <c r="R23" s="579"/>
      <c r="S23" s="580" t="s">
        <v>41</v>
      </c>
      <c r="T23" s="581"/>
      <c r="U23" s="582">
        <f>AVERAGE(K23,P23)</f>
        <v>24.55</v>
      </c>
      <c r="V23" s="583"/>
      <c r="W23" s="584"/>
      <c r="X23" s="582">
        <f>U23*'SERTIFIKAT THERMOHYGROMETER'!E19+'SERTIFIKAT THERMOHYGROMETER'!F19</f>
        <v>24.696414756090277</v>
      </c>
      <c r="Y23" s="583"/>
      <c r="Z23" s="584"/>
      <c r="AA23" s="582">
        <f>'SERTIFIKAT THERMOHYGROMETER'!J14</f>
        <v>0.63</v>
      </c>
      <c r="AB23" s="583"/>
      <c r="AC23" s="584"/>
      <c r="AD23" s="591" t="str">
        <f>IF(AND(X23&gt;=20,X23&lt;=30),"Lulus","Tidak Lulus")</f>
        <v>Lulus</v>
      </c>
      <c r="AE23" s="590"/>
      <c r="AF23" s="592"/>
    </row>
    <row r="24" spans="1:32" ht="15" customHeight="1" x14ac:dyDescent="0.25">
      <c r="B24" s="39">
        <f>B23+1</f>
        <v>2</v>
      </c>
      <c r="C24" s="577" t="str">
        <f>'LEMBAR KERJA'!C24</f>
        <v>Kelembaban Ruangan (%RH)</v>
      </c>
      <c r="D24" s="577"/>
      <c r="E24" s="577"/>
      <c r="F24" s="577"/>
      <c r="G24" s="577"/>
      <c r="H24" s="577"/>
      <c r="I24" s="577"/>
      <c r="J24" s="577"/>
      <c r="K24" s="578">
        <f>'LEMBAR KERJA'!K24</f>
        <v>55</v>
      </c>
      <c r="L24" s="579"/>
      <c r="M24" s="579"/>
      <c r="N24" s="580" t="s">
        <v>149</v>
      </c>
      <c r="O24" s="581"/>
      <c r="P24" s="578">
        <f>'LEMBAR KERJA'!P24</f>
        <v>56</v>
      </c>
      <c r="Q24" s="579"/>
      <c r="R24" s="579"/>
      <c r="S24" s="580" t="s">
        <v>149</v>
      </c>
      <c r="T24" s="581"/>
      <c r="U24" s="598">
        <f>AVERAGE(K24,P24)</f>
        <v>55.5</v>
      </c>
      <c r="V24" s="599"/>
      <c r="W24" s="600"/>
      <c r="X24" s="598">
        <f>U24*'SERTIFIKAT THERMOHYGROMETER'!N19+'SERTIFIKAT THERMOHYGROMETER'!O19</f>
        <v>55.916499999999999</v>
      </c>
      <c r="Y24" s="599"/>
      <c r="Z24" s="600"/>
      <c r="AA24" s="582">
        <f>'SERTIFIKAT THERMOHYGROMETER'!S14</f>
        <v>2.9</v>
      </c>
      <c r="AB24" s="583"/>
      <c r="AC24" s="584"/>
      <c r="AD24" s="591" t="str">
        <f>IF(AND(X24&gt;=35,X24&lt;=75),"Lulus","Tidak Lulus")</f>
        <v>Lulus</v>
      </c>
      <c r="AE24" s="590"/>
      <c r="AF24" s="592"/>
    </row>
    <row r="25" spans="1:32" ht="14.25" customHeight="1" x14ac:dyDescent="0.25">
      <c r="B25" s="135">
        <v>3</v>
      </c>
      <c r="C25" s="601" t="str">
        <f>'LEMBAR KERJA'!C25</f>
        <v>Tegangan Utama</v>
      </c>
      <c r="D25" s="602"/>
      <c r="E25" s="602"/>
      <c r="F25" s="602"/>
      <c r="G25" s="602"/>
      <c r="H25" s="43" t="str">
        <f>'LEMBAR KERJA'!K25</f>
        <v>P - N</v>
      </c>
      <c r="I25" s="44"/>
      <c r="J25" s="45"/>
      <c r="K25" s="603">
        <f>'LEMBAR KERJA'!M25</f>
        <v>222</v>
      </c>
      <c r="L25" s="580"/>
      <c r="M25" s="580"/>
      <c r="N25" s="580"/>
      <c r="O25" s="580"/>
      <c r="P25" s="580"/>
      <c r="Q25" s="580"/>
      <c r="R25" s="580"/>
      <c r="S25" s="580"/>
      <c r="T25" s="581"/>
      <c r="U25" s="604" t="str">
        <f>'LEMBAR KERJA'!O25</f>
        <v>Vac</v>
      </c>
      <c r="V25" s="605"/>
      <c r="W25" s="606"/>
      <c r="X25" s="604">
        <f>K25</f>
        <v>222</v>
      </c>
      <c r="Y25" s="605"/>
      <c r="Z25" s="606"/>
      <c r="AA25" s="604">
        <f>'SERTIFIKAT ESA'!J28</f>
        <v>-0.80000000000001137</v>
      </c>
      <c r="AB25" s="605"/>
      <c r="AC25" s="606"/>
      <c r="AD25" s="603" t="str">
        <f>IF(X25&gt;200,"Lulus","Tidak Lulus")</f>
        <v>Lulus</v>
      </c>
      <c r="AE25" s="580"/>
      <c r="AF25" s="581"/>
    </row>
    <row r="27" spans="1:32" s="47" customFormat="1" ht="15" customHeight="1" x14ac:dyDescent="0.25">
      <c r="A27" s="46" t="s">
        <v>46</v>
      </c>
      <c r="B27" s="47" t="s">
        <v>100</v>
      </c>
      <c r="AA27" s="25"/>
      <c r="AB27" s="25"/>
      <c r="AC27" s="25"/>
      <c r="AD27" s="25"/>
    </row>
    <row r="28" spans="1:32" s="48" customFormat="1" ht="15" customHeight="1" x14ac:dyDescent="0.25">
      <c r="B28" s="49" t="s">
        <v>101</v>
      </c>
      <c r="C28" s="607" t="s">
        <v>37</v>
      </c>
      <c r="D28" s="608"/>
      <c r="E28" s="608"/>
      <c r="F28" s="608"/>
      <c r="G28" s="608"/>
      <c r="H28" s="608"/>
      <c r="I28" s="608"/>
      <c r="J28" s="609"/>
      <c r="K28" s="610" t="s">
        <v>52</v>
      </c>
      <c r="L28" s="610"/>
      <c r="M28" s="610"/>
      <c r="N28" s="610"/>
      <c r="O28" s="610"/>
      <c r="P28" s="610" t="s">
        <v>102</v>
      </c>
      <c r="Q28" s="610"/>
      <c r="R28" s="610"/>
      <c r="S28" s="610"/>
      <c r="T28" s="610"/>
      <c r="U28" s="607" t="s">
        <v>103</v>
      </c>
      <c r="V28" s="608"/>
      <c r="W28" s="608"/>
      <c r="X28" s="609"/>
      <c r="Y28" s="50"/>
      <c r="Z28" s="50"/>
      <c r="AA28" s="25"/>
      <c r="AB28" s="25"/>
      <c r="AC28" s="25"/>
      <c r="AD28" s="25"/>
    </row>
    <row r="29" spans="1:32" s="48" customFormat="1" ht="15" customHeight="1" x14ac:dyDescent="0.25">
      <c r="B29" s="39">
        <v>1</v>
      </c>
      <c r="C29" s="540" t="str">
        <f>'LEMBAR KERJA'!C31</f>
        <v>Badan dan permukaan</v>
      </c>
      <c r="D29" s="541"/>
      <c r="E29" s="541"/>
      <c r="F29" s="541"/>
      <c r="G29" s="541"/>
      <c r="H29" s="541"/>
      <c r="I29" s="541"/>
      <c r="J29" s="542"/>
      <c r="K29" s="543" t="str">
        <f>IF('LEMBAR KERJA'!U31=1,"Baik","Tidak Baik")</f>
        <v>Baik</v>
      </c>
      <c r="L29" s="543"/>
      <c r="M29" s="543"/>
      <c r="N29" s="543"/>
      <c r="O29" s="543"/>
      <c r="P29" s="611">
        <f>(COUNTIF(K29:N34,"baik")/(COUNTA(K29:N34))*10)</f>
        <v>10</v>
      </c>
      <c r="Q29" s="612"/>
      <c r="R29" s="612"/>
      <c r="S29" s="612"/>
      <c r="T29" s="613"/>
      <c r="U29" s="614" t="str">
        <f>IF(P29&gt;=7,"Baik","Tidak Baik")</f>
        <v>Baik</v>
      </c>
      <c r="V29" s="615"/>
      <c r="W29" s="615"/>
      <c r="X29" s="616"/>
      <c r="Y29" s="51"/>
      <c r="Z29" s="51"/>
      <c r="AA29" s="25"/>
      <c r="AB29" s="25"/>
      <c r="AC29" s="25"/>
      <c r="AD29" s="25"/>
    </row>
    <row r="30" spans="1:32" s="48" customFormat="1" ht="15" customHeight="1" x14ac:dyDescent="0.25">
      <c r="B30" s="39">
        <f t="shared" ref="B30:B34" si="0">B29+1</f>
        <v>2</v>
      </c>
      <c r="C30" s="540" t="str">
        <f>'LEMBAR KERJA'!C32</f>
        <v>Kotak Kontak Alat</v>
      </c>
      <c r="D30" s="541"/>
      <c r="E30" s="541"/>
      <c r="F30" s="541"/>
      <c r="G30" s="541"/>
      <c r="H30" s="541"/>
      <c r="I30" s="541"/>
      <c r="J30" s="542"/>
      <c r="K30" s="543" t="str">
        <f>IF('LEMBAR KERJA'!U32=1,"Baik","Tidak Baik")</f>
        <v>Baik</v>
      </c>
      <c r="L30" s="543"/>
      <c r="M30" s="543"/>
      <c r="N30" s="543"/>
      <c r="O30" s="543"/>
      <c r="P30" s="559"/>
      <c r="Q30" s="560"/>
      <c r="R30" s="560"/>
      <c r="S30" s="560"/>
      <c r="T30" s="561"/>
      <c r="U30" s="617"/>
      <c r="V30" s="618"/>
      <c r="W30" s="618"/>
      <c r="X30" s="619"/>
      <c r="Y30" s="51"/>
      <c r="Z30" s="51"/>
      <c r="AA30" s="25"/>
      <c r="AB30" s="25"/>
      <c r="AC30" s="25"/>
      <c r="AD30" s="25"/>
    </row>
    <row r="31" spans="1:32" s="48" customFormat="1" ht="15" customHeight="1" x14ac:dyDescent="0.25">
      <c r="B31" s="39">
        <f t="shared" si="0"/>
        <v>3</v>
      </c>
      <c r="C31" s="540" t="str">
        <f>'LEMBAR KERJA'!C33</f>
        <v>Kabel Catu Utama</v>
      </c>
      <c r="D31" s="541"/>
      <c r="E31" s="541"/>
      <c r="F31" s="541"/>
      <c r="G31" s="541"/>
      <c r="H31" s="541"/>
      <c r="I31" s="541"/>
      <c r="J31" s="542"/>
      <c r="K31" s="543" t="str">
        <f>IF('LEMBAR KERJA'!U33=1,"Baik","Tidak Baik")</f>
        <v>Baik</v>
      </c>
      <c r="L31" s="543"/>
      <c r="M31" s="543"/>
      <c r="N31" s="543"/>
      <c r="O31" s="543"/>
      <c r="P31" s="559"/>
      <c r="Q31" s="560"/>
      <c r="R31" s="560"/>
      <c r="S31" s="560"/>
      <c r="T31" s="561"/>
      <c r="U31" s="617"/>
      <c r="V31" s="618"/>
      <c r="W31" s="618"/>
      <c r="X31" s="619"/>
      <c r="Y31" s="51"/>
      <c r="Z31" s="51"/>
      <c r="AA31" s="25"/>
      <c r="AB31" s="25"/>
      <c r="AC31" s="25"/>
      <c r="AD31" s="25"/>
    </row>
    <row r="32" spans="1:32" s="48" customFormat="1" ht="15" customHeight="1" x14ac:dyDescent="0.25">
      <c r="B32" s="39">
        <f t="shared" si="0"/>
        <v>4</v>
      </c>
      <c r="C32" s="540" t="str">
        <f>'LEMBAR KERJA'!C34</f>
        <v>Sekering pengaman</v>
      </c>
      <c r="D32" s="541"/>
      <c r="E32" s="541"/>
      <c r="F32" s="541"/>
      <c r="G32" s="541"/>
      <c r="H32" s="541"/>
      <c r="I32" s="541"/>
      <c r="J32" s="542"/>
      <c r="K32" s="543" t="str">
        <f>IF('LEMBAR KERJA'!U34=1,"Baik","Tidak Baik")</f>
        <v>Baik</v>
      </c>
      <c r="L32" s="543"/>
      <c r="M32" s="543"/>
      <c r="N32" s="543"/>
      <c r="O32" s="543"/>
      <c r="P32" s="559"/>
      <c r="Q32" s="560"/>
      <c r="R32" s="560"/>
      <c r="S32" s="560"/>
      <c r="T32" s="561"/>
      <c r="U32" s="617"/>
      <c r="V32" s="618"/>
      <c r="W32" s="618"/>
      <c r="X32" s="619"/>
      <c r="Y32" s="51"/>
      <c r="Z32" s="51"/>
      <c r="AA32" s="25"/>
      <c r="AB32" s="25"/>
      <c r="AC32" s="25"/>
      <c r="AD32" s="25"/>
    </row>
    <row r="33" spans="1:31" s="48" customFormat="1" ht="15" customHeight="1" x14ac:dyDescent="0.25">
      <c r="B33" s="39">
        <f t="shared" si="0"/>
        <v>5</v>
      </c>
      <c r="C33" s="540" t="str">
        <f>'LEMBAR KERJA'!C35</f>
        <v>Tombol, saklar dan control</v>
      </c>
      <c r="D33" s="541"/>
      <c r="E33" s="541"/>
      <c r="F33" s="541"/>
      <c r="G33" s="541"/>
      <c r="H33" s="541"/>
      <c r="I33" s="541"/>
      <c r="J33" s="542"/>
      <c r="K33" s="543" t="str">
        <f>IF('LEMBAR KERJA'!U35=1,"Baik","Tidak Baik")</f>
        <v>Baik</v>
      </c>
      <c r="L33" s="543"/>
      <c r="M33" s="543"/>
      <c r="N33" s="543"/>
      <c r="O33" s="543"/>
      <c r="P33" s="559"/>
      <c r="Q33" s="560"/>
      <c r="R33" s="560"/>
      <c r="S33" s="560"/>
      <c r="T33" s="561"/>
      <c r="U33" s="617"/>
      <c r="V33" s="618"/>
      <c r="W33" s="618"/>
      <c r="X33" s="619"/>
      <c r="Y33" s="51"/>
      <c r="Z33" s="51"/>
      <c r="AA33" s="25"/>
      <c r="AB33" s="25"/>
      <c r="AC33" s="25"/>
      <c r="AD33" s="25"/>
    </row>
    <row r="34" spans="1:31" s="48" customFormat="1" ht="15" customHeight="1" x14ac:dyDescent="0.25">
      <c r="B34" s="39">
        <f t="shared" si="0"/>
        <v>6</v>
      </c>
      <c r="C34" s="540" t="str">
        <f>'LEMBAR KERJA'!C36</f>
        <v>Tampilan dan indikator</v>
      </c>
      <c r="D34" s="541"/>
      <c r="E34" s="541"/>
      <c r="F34" s="541"/>
      <c r="G34" s="541"/>
      <c r="H34" s="541"/>
      <c r="I34" s="541"/>
      <c r="J34" s="542"/>
      <c r="K34" s="543" t="str">
        <f>IF('LEMBAR KERJA'!U36=1,"Baik","Tidak Baik")</f>
        <v>Baik</v>
      </c>
      <c r="L34" s="543"/>
      <c r="M34" s="543"/>
      <c r="N34" s="543"/>
      <c r="O34" s="543"/>
      <c r="P34" s="559"/>
      <c r="Q34" s="560"/>
      <c r="R34" s="560"/>
      <c r="S34" s="560"/>
      <c r="T34" s="561"/>
      <c r="U34" s="617"/>
      <c r="V34" s="618"/>
      <c r="W34" s="618"/>
      <c r="X34" s="619"/>
      <c r="Y34" s="51"/>
      <c r="Z34" s="51"/>
      <c r="AA34" s="25"/>
      <c r="AB34" s="25"/>
      <c r="AC34" s="25"/>
      <c r="AD34" s="25"/>
    </row>
    <row r="35" spans="1:31" s="48" customFormat="1" x14ac:dyDescent="0.25">
      <c r="S35" s="52"/>
      <c r="AA35" s="25"/>
      <c r="AB35" s="25"/>
      <c r="AC35" s="25"/>
      <c r="AD35" s="25"/>
    </row>
    <row r="36" spans="1:31" s="47" customFormat="1" x14ac:dyDescent="0.25">
      <c r="A36" s="46" t="s">
        <v>65</v>
      </c>
      <c r="B36" s="47" t="s">
        <v>104</v>
      </c>
      <c r="AA36" s="25"/>
      <c r="AB36" s="25"/>
      <c r="AC36" s="25"/>
      <c r="AD36" s="25"/>
    </row>
    <row r="37" spans="1:31" s="53" customFormat="1" ht="30" customHeight="1" thickBot="1" x14ac:dyDescent="0.35">
      <c r="B37" s="54" t="s">
        <v>101</v>
      </c>
      <c r="C37" s="532" t="s">
        <v>37</v>
      </c>
      <c r="D37" s="532"/>
      <c r="E37" s="532"/>
      <c r="F37" s="532"/>
      <c r="G37" s="532"/>
      <c r="H37" s="532"/>
      <c r="I37" s="532"/>
      <c r="J37" s="532" t="s">
        <v>105</v>
      </c>
      <c r="K37" s="532"/>
      <c r="L37" s="532"/>
      <c r="M37" s="532"/>
      <c r="N37" s="385" t="s">
        <v>97</v>
      </c>
      <c r="O37" s="385"/>
      <c r="P37" s="385"/>
      <c r="Q37" s="544" t="s">
        <v>74</v>
      </c>
      <c r="R37" s="545"/>
      <c r="S37" s="546"/>
      <c r="T37" s="382" t="s">
        <v>106</v>
      </c>
      <c r="U37" s="383"/>
      <c r="V37" s="384"/>
      <c r="W37" s="544" t="s">
        <v>107</v>
      </c>
      <c r="X37" s="545"/>
      <c r="Y37" s="546"/>
      <c r="Z37" s="544" t="s">
        <v>103</v>
      </c>
      <c r="AA37" s="545"/>
      <c r="AB37" s="546"/>
      <c r="AC37" s="55"/>
      <c r="AD37" s="55"/>
      <c r="AE37" s="55"/>
    </row>
    <row r="38" spans="1:31" s="48" customFormat="1" ht="32.25" customHeight="1" thickTop="1" x14ac:dyDescent="0.25">
      <c r="B38" s="56">
        <v>1</v>
      </c>
      <c r="C38" s="547" t="str">
        <f>'LEMBAR KERJA'!D43</f>
        <v>Resistansi pembumian Kabel dapat dilepas (DPS)</v>
      </c>
      <c r="D38" s="547"/>
      <c r="E38" s="547"/>
      <c r="F38" s="547"/>
      <c r="G38" s="547"/>
      <c r="H38" s="547"/>
      <c r="I38" s="547"/>
      <c r="J38" s="548">
        <f>'LEMBAR KERJA'!P43</f>
        <v>0.11799999999999999</v>
      </c>
      <c r="K38" s="548"/>
      <c r="L38" s="549"/>
      <c r="M38" s="57" t="s">
        <v>77</v>
      </c>
      <c r="N38" s="550">
        <f>J38*'SERTIFIKAT ESA'!J126+'SERTIFIKAT ESA'!J125</f>
        <v>8.5290055302537249E-2</v>
      </c>
      <c r="O38" s="551"/>
      <c r="P38" s="552"/>
      <c r="Q38" s="58" t="s">
        <v>79</v>
      </c>
      <c r="R38" s="59">
        <f>'LEMBAR KERJA'!V43</f>
        <v>0.3</v>
      </c>
      <c r="S38" s="60" t="s">
        <v>77</v>
      </c>
      <c r="T38" s="553" t="str">
        <f>IF(N38&lt;=R38,"Memenuhi","Tidak")</f>
        <v>Memenuhi</v>
      </c>
      <c r="U38" s="554"/>
      <c r="V38" s="555"/>
      <c r="W38" s="556">
        <f>IF(COUNTIF(T38:V41,"memenuhi")&lt;4,0,40)</f>
        <v>0</v>
      </c>
      <c r="X38" s="557"/>
      <c r="Y38" s="558"/>
      <c r="Z38" s="565" t="str">
        <f>IF((W38)&lt;40,"Tidak Aman","Aman")</f>
        <v>Tidak Aman</v>
      </c>
      <c r="AA38" s="566"/>
      <c r="AB38" s="567"/>
      <c r="AC38" s="51"/>
      <c r="AD38" s="51"/>
      <c r="AE38" s="51"/>
    </row>
    <row r="39" spans="1:31" s="48" customFormat="1" ht="32.25" customHeight="1" x14ac:dyDescent="0.25">
      <c r="B39" s="39">
        <f>B38+1</f>
        <v>2</v>
      </c>
      <c r="C39" s="547" t="str">
        <f>'LEMBAR KERJA'!D44</f>
        <v>Arus bocor peralatan metode Langsung kelas I tipe B</v>
      </c>
      <c r="D39" s="547"/>
      <c r="E39" s="547"/>
      <c r="F39" s="547"/>
      <c r="G39" s="547"/>
      <c r="H39" s="547"/>
      <c r="I39" s="547"/>
      <c r="J39" s="548">
        <f>'LEMBAR KERJA'!P44</f>
        <v>25</v>
      </c>
      <c r="K39" s="548"/>
      <c r="L39" s="549"/>
      <c r="M39" s="61" t="s">
        <v>108</v>
      </c>
      <c r="N39" s="631">
        <f>J39*'SERTIFIKAT ESA'!J145+'SERTIFIKAT ESA'!J144</f>
        <v>30.500000000000671</v>
      </c>
      <c r="O39" s="632"/>
      <c r="P39" s="633"/>
      <c r="Q39" s="58" t="s">
        <v>79</v>
      </c>
      <c r="R39" s="59">
        <f>'LEMBAR KERJA'!V44</f>
        <v>500</v>
      </c>
      <c r="S39" s="62" t="s">
        <v>108</v>
      </c>
      <c r="T39" s="621" t="str">
        <f>IF(N39&lt;=R39,"Memenuhi","Tidak")</f>
        <v>Memenuhi</v>
      </c>
      <c r="U39" s="622"/>
      <c r="V39" s="623"/>
      <c r="W39" s="559"/>
      <c r="X39" s="560"/>
      <c r="Y39" s="561"/>
      <c r="Z39" s="568"/>
      <c r="AA39" s="569"/>
      <c r="AB39" s="570"/>
      <c r="AC39" s="51"/>
      <c r="AD39" s="51"/>
      <c r="AE39" s="51"/>
    </row>
    <row r="40" spans="1:31" s="48" customFormat="1" ht="37.5" customHeight="1" x14ac:dyDescent="0.25">
      <c r="B40" s="39">
        <v>3</v>
      </c>
      <c r="C40" s="634" t="str">
        <f>'LEMBAR KERJA'!D45</f>
        <v>Pengukuran arus bocor yang diaplikasikan tidak dilakukan (tidak ada bagian yang diaplikasikan)</v>
      </c>
      <c r="D40" s="635"/>
      <c r="E40" s="635"/>
      <c r="F40" s="635"/>
      <c r="G40" s="635"/>
      <c r="H40" s="635"/>
      <c r="I40" s="636"/>
      <c r="J40" s="548" t="str">
        <f>'LEMBAR KERJA'!P45</f>
        <v>-</v>
      </c>
      <c r="K40" s="548"/>
      <c r="L40" s="549"/>
      <c r="M40" s="61" t="s">
        <v>108</v>
      </c>
      <c r="N40" s="620" t="str">
        <f>J40</f>
        <v>-</v>
      </c>
      <c r="O40" s="620"/>
      <c r="P40" s="620"/>
      <c r="Q40" s="58" t="s">
        <v>79</v>
      </c>
      <c r="R40" s="59">
        <f>'LEMBAR KERJA'!V45</f>
        <v>0</v>
      </c>
      <c r="S40" s="61" t="s">
        <v>108</v>
      </c>
      <c r="T40" s="621" t="str">
        <f>IF(J40&lt;=R40,"Memenuhi","TidakMemenuhi")</f>
        <v>TidakMemenuhi</v>
      </c>
      <c r="U40" s="622"/>
      <c r="V40" s="623"/>
      <c r="W40" s="559"/>
      <c r="X40" s="560"/>
      <c r="Y40" s="561"/>
      <c r="Z40" s="568"/>
      <c r="AA40" s="569"/>
      <c r="AB40" s="570"/>
      <c r="AC40" s="51"/>
      <c r="AD40" s="51"/>
      <c r="AE40" s="51"/>
    </row>
    <row r="41" spans="1:31" s="48" customFormat="1" ht="37.5" customHeight="1" x14ac:dyDescent="0.25">
      <c r="B41" s="39">
        <v>4</v>
      </c>
      <c r="C41" s="624" t="str">
        <f>'LEMBAR KERJA'!C46</f>
        <v>Resistansi Isolasi</v>
      </c>
      <c r="D41" s="625"/>
      <c r="E41" s="625"/>
      <c r="F41" s="625"/>
      <c r="G41" s="625"/>
      <c r="H41" s="625"/>
      <c r="I41" s="626"/>
      <c r="J41" s="627">
        <f>'LEMBAR KERJA'!P46</f>
        <v>100</v>
      </c>
      <c r="K41" s="628"/>
      <c r="L41" s="628"/>
      <c r="M41" s="61" t="s">
        <v>109</v>
      </c>
      <c r="N41" s="629">
        <f>J41*'SERTIFIKAT ESA'!J184+'SERTIFIKAT ESA'!J183</f>
        <v>94.04647058823528</v>
      </c>
      <c r="O41" s="620"/>
      <c r="P41" s="630"/>
      <c r="Q41" s="166" t="s">
        <v>72</v>
      </c>
      <c r="R41" s="59">
        <f>'LEMBAR KERJA'!V46</f>
        <v>2</v>
      </c>
      <c r="S41" s="61" t="s">
        <v>109</v>
      </c>
      <c r="T41" s="621" t="str">
        <f>IF(J41&gt;=R41,"Memenuhi","Tidak memenuhi")</f>
        <v>Memenuhi</v>
      </c>
      <c r="U41" s="622"/>
      <c r="V41" s="623"/>
      <c r="W41" s="562"/>
      <c r="X41" s="563"/>
      <c r="Y41" s="564"/>
      <c r="Z41" s="571"/>
      <c r="AA41" s="572"/>
      <c r="AB41" s="573"/>
      <c r="AC41" s="51"/>
      <c r="AD41" s="51"/>
      <c r="AE41" s="51"/>
    </row>
    <row r="43" spans="1:31" ht="14.4" x14ac:dyDescent="0.3">
      <c r="A43" s="198" t="s">
        <v>81</v>
      </c>
      <c r="B43" s="63" t="s">
        <v>227</v>
      </c>
      <c r="C43" s="65"/>
      <c r="D43" s="63"/>
      <c r="E43" s="46"/>
      <c r="F43" s="46"/>
      <c r="G43" s="46"/>
      <c r="H43" s="46"/>
      <c r="I43" s="46"/>
      <c r="J43" s="46"/>
      <c r="K43" s="46"/>
      <c r="L43" s="46"/>
      <c r="M43" s="65"/>
      <c r="N43" s="65"/>
      <c r="O43" s="46"/>
      <c r="P43" s="46"/>
      <c r="Q43" s="65" t="s">
        <v>228</v>
      </c>
      <c r="R43" s="27"/>
      <c r="S43" s="27"/>
      <c r="T43" s="27"/>
      <c r="U43" s="27"/>
      <c r="V43" s="65"/>
      <c r="W43" s="65"/>
      <c r="X43" s="65"/>
      <c r="Y43" s="65"/>
      <c r="Z43" s="65"/>
      <c r="AA43" s="290"/>
      <c r="AB43" s="24"/>
    </row>
    <row r="44" spans="1:31" ht="14.4" x14ac:dyDescent="0.3">
      <c r="A44" s="199"/>
      <c r="B44" s="200" t="s">
        <v>229</v>
      </c>
      <c r="C44" s="65"/>
      <c r="D44" s="65"/>
      <c r="E44" s="65"/>
      <c r="F44" s="65"/>
      <c r="G44" s="65"/>
      <c r="H44" s="65"/>
      <c r="I44" s="65"/>
      <c r="J44" s="201"/>
      <c r="K44" s="201"/>
      <c r="L44" s="201"/>
      <c r="M44" s="201"/>
      <c r="N44" s="65"/>
      <c r="O44" s="65"/>
      <c r="P44" s="46"/>
      <c r="Q44" s="46"/>
      <c r="R44" s="65"/>
      <c r="S44" s="27"/>
      <c r="T44" s="66"/>
      <c r="U44" s="66"/>
      <c r="V44" s="66"/>
      <c r="W44" s="66"/>
      <c r="X44" s="66"/>
      <c r="Y44" s="66"/>
      <c r="Z44" s="66"/>
      <c r="AA44" s="290"/>
    </row>
    <row r="45" spans="1:31" ht="14.4" x14ac:dyDescent="0.3">
      <c r="A45" s="199"/>
      <c r="B45" s="455" t="s">
        <v>27</v>
      </c>
      <c r="C45" s="455" t="s">
        <v>230</v>
      </c>
      <c r="D45" s="455"/>
      <c r="E45" s="455"/>
      <c r="F45" s="455"/>
      <c r="G45" s="455"/>
      <c r="H45" s="455"/>
      <c r="I45" s="533" t="s">
        <v>231</v>
      </c>
      <c r="J45" s="377"/>
      <c r="K45" s="377"/>
      <c r="L45" s="377"/>
      <c r="M45" s="377"/>
      <c r="N45" s="377"/>
      <c r="O45" s="377"/>
      <c r="P45" s="377"/>
      <c r="Q45" s="377"/>
      <c r="R45" s="377"/>
      <c r="S45" s="377"/>
      <c r="T45" s="377"/>
      <c r="U45" s="455" t="s">
        <v>110</v>
      </c>
      <c r="V45" s="455"/>
      <c r="W45" s="455"/>
      <c r="X45" s="455" t="s">
        <v>232</v>
      </c>
      <c r="Y45" s="455"/>
      <c r="Z45" s="455"/>
      <c r="AA45" s="290"/>
    </row>
    <row r="46" spans="1:31" ht="15" thickBot="1" x14ac:dyDescent="0.35">
      <c r="A46" s="199"/>
      <c r="B46" s="532"/>
      <c r="C46" s="532"/>
      <c r="D46" s="532"/>
      <c r="E46" s="532"/>
      <c r="F46" s="532"/>
      <c r="G46" s="532"/>
      <c r="H46" s="532"/>
      <c r="I46" s="382">
        <v>1</v>
      </c>
      <c r="J46" s="383"/>
      <c r="K46" s="383"/>
      <c r="L46" s="384"/>
      <c r="M46" s="382">
        <v>2</v>
      </c>
      <c r="N46" s="383"/>
      <c r="O46" s="383"/>
      <c r="P46" s="384"/>
      <c r="Q46" s="382">
        <v>3</v>
      </c>
      <c r="R46" s="383"/>
      <c r="S46" s="383"/>
      <c r="T46" s="384"/>
      <c r="U46" s="532"/>
      <c r="V46" s="532"/>
      <c r="W46" s="532"/>
      <c r="X46" s="532"/>
      <c r="Y46" s="532"/>
      <c r="Z46" s="532"/>
      <c r="AA46" s="290"/>
    </row>
    <row r="47" spans="1:31" ht="15" thickTop="1" x14ac:dyDescent="0.3">
      <c r="A47" s="199"/>
      <c r="B47" s="202">
        <v>1</v>
      </c>
      <c r="C47" s="534">
        <f>'LEMBAR KERJA'!F57</f>
        <v>134</v>
      </c>
      <c r="D47" s="534"/>
      <c r="E47" s="534"/>
      <c r="F47" s="534"/>
      <c r="G47" s="534"/>
      <c r="H47" s="534"/>
      <c r="I47" s="535">
        <f>'LEMBAR KERJA'!M57</f>
        <v>135.6</v>
      </c>
      <c r="J47" s="536"/>
      <c r="K47" s="536"/>
      <c r="L47" s="537"/>
      <c r="M47" s="535">
        <f>'LEMBAR KERJA'!Q57</f>
        <v>135.69999999999999</v>
      </c>
      <c r="N47" s="536"/>
      <c r="O47" s="536"/>
      <c r="P47" s="537"/>
      <c r="Q47" s="535">
        <f>'LEMBAR KERJA'!U57</f>
        <v>135.69999999999999</v>
      </c>
      <c r="R47" s="536"/>
      <c r="S47" s="536"/>
      <c r="T47" s="537"/>
      <c r="U47" s="538">
        <f>AVERAGE(I47:T47)</f>
        <v>135.66666666666666</v>
      </c>
      <c r="V47" s="538"/>
      <c r="W47" s="538"/>
      <c r="X47" s="539">
        <f>STDEV(I47:T47)</f>
        <v>5.7735026918959292E-2</v>
      </c>
      <c r="Y47" s="539"/>
      <c r="Z47" s="539"/>
      <c r="AA47" s="290"/>
    </row>
    <row r="48" spans="1:31" ht="14.4" x14ac:dyDescent="0.3">
      <c r="A48" s="199"/>
      <c r="B48" s="63"/>
      <c r="C48" s="65"/>
      <c r="D48" s="65"/>
      <c r="E48" s="65"/>
      <c r="F48" s="65"/>
      <c r="G48" s="65"/>
      <c r="H48" s="65"/>
      <c r="I48" s="65"/>
      <c r="J48" s="46"/>
      <c r="K48" s="46"/>
      <c r="L48" s="46"/>
      <c r="M48" s="46"/>
      <c r="N48" s="65"/>
      <c r="O48" s="65"/>
      <c r="P48" s="46"/>
      <c r="Q48" s="46"/>
      <c r="R48" s="65"/>
      <c r="S48" s="27"/>
      <c r="T48" s="66"/>
      <c r="U48" s="66"/>
      <c r="V48" s="66"/>
      <c r="W48" s="66"/>
      <c r="X48" s="66"/>
      <c r="Y48" s="66"/>
      <c r="Z48" s="66"/>
      <c r="AA48" s="290"/>
    </row>
    <row r="49" spans="1:27" ht="14.4" x14ac:dyDescent="0.3">
      <c r="A49" s="199"/>
      <c r="B49" s="519" t="s">
        <v>27</v>
      </c>
      <c r="C49" s="521" t="s">
        <v>233</v>
      </c>
      <c r="D49" s="521"/>
      <c r="E49" s="521"/>
      <c r="F49" s="523" t="s">
        <v>111</v>
      </c>
      <c r="G49" s="524"/>
      <c r="H49" s="525"/>
      <c r="I49" s="529" t="s">
        <v>234</v>
      </c>
      <c r="J49" s="529"/>
      <c r="K49" s="529"/>
      <c r="L49" s="529" t="s">
        <v>235</v>
      </c>
      <c r="M49" s="529"/>
      <c r="N49" s="529"/>
      <c r="O49" s="529" t="s">
        <v>236</v>
      </c>
      <c r="P49" s="529"/>
      <c r="Q49" s="529"/>
      <c r="R49" s="529"/>
      <c r="S49" s="521" t="s">
        <v>39</v>
      </c>
      <c r="T49" s="521"/>
      <c r="U49" s="521" t="s">
        <v>106</v>
      </c>
      <c r="V49" s="521"/>
      <c r="W49" s="521"/>
      <c r="X49" s="530" t="s">
        <v>107</v>
      </c>
      <c r="Y49" s="530"/>
      <c r="Z49" s="530"/>
      <c r="AA49" s="290"/>
    </row>
    <row r="50" spans="1:27" ht="15" thickBot="1" x14ac:dyDescent="0.35">
      <c r="A50" s="199"/>
      <c r="B50" s="520"/>
      <c r="C50" s="522"/>
      <c r="D50" s="522"/>
      <c r="E50" s="522"/>
      <c r="F50" s="526"/>
      <c r="G50" s="527"/>
      <c r="H50" s="528"/>
      <c r="I50" s="385"/>
      <c r="J50" s="385"/>
      <c r="K50" s="385"/>
      <c r="L50" s="385"/>
      <c r="M50" s="385"/>
      <c r="N50" s="385"/>
      <c r="O50" s="385"/>
      <c r="P50" s="385"/>
      <c r="Q50" s="385"/>
      <c r="R50" s="385"/>
      <c r="S50" s="522"/>
      <c r="T50" s="522"/>
      <c r="U50" s="522"/>
      <c r="V50" s="522"/>
      <c r="W50" s="522"/>
      <c r="X50" s="531"/>
      <c r="Y50" s="531"/>
      <c r="Z50" s="531"/>
      <c r="AA50" s="290"/>
    </row>
    <row r="51" spans="1:27" ht="15" thickTop="1" x14ac:dyDescent="0.3">
      <c r="A51" s="199"/>
      <c r="B51" s="203">
        <v>1</v>
      </c>
      <c r="C51" s="507">
        <f>U47*'SERT. DATA LOGGER'!C34+'SERT. DATA LOGGER'!C33</f>
        <v>135.67030976400375</v>
      </c>
      <c r="D51" s="507"/>
      <c r="E51" s="507"/>
      <c r="F51" s="507">
        <f>C51-C47</f>
        <v>1.670309764003747</v>
      </c>
      <c r="G51" s="507"/>
      <c r="H51" s="507"/>
      <c r="I51" s="508">
        <f>IF(C47=121,KETIDAKPASTIAN!K18,KETIDAKPASTIAN!K30)</f>
        <v>6.8552267431478645E-2</v>
      </c>
      <c r="J51" s="508"/>
      <c r="K51" s="508"/>
      <c r="L51" s="508">
        <f>ABS(F51)+ABS(I51)</f>
        <v>1.7388620314352257</v>
      </c>
      <c r="M51" s="508"/>
      <c r="N51" s="508"/>
      <c r="O51" s="509" t="s">
        <v>237</v>
      </c>
      <c r="P51" s="509"/>
      <c r="Q51" s="509"/>
      <c r="R51" s="509"/>
      <c r="S51" s="510">
        <v>2</v>
      </c>
      <c r="T51" s="511"/>
      <c r="U51" s="512" t="str">
        <f>IF(L51&lt;=S51,"Lulus","Tidak")</f>
        <v>Lulus</v>
      </c>
      <c r="V51" s="512"/>
      <c r="W51" s="512"/>
      <c r="X51" s="513">
        <f>IF(U51="Lulus",100,0)</f>
        <v>100</v>
      </c>
      <c r="Y51" s="514"/>
      <c r="Z51" s="515"/>
      <c r="AA51" s="290"/>
    </row>
    <row r="52" spans="1:27" ht="14.4" x14ac:dyDescent="0.3">
      <c r="A52" s="199"/>
      <c r="B52" s="204"/>
      <c r="C52" s="205"/>
      <c r="D52" s="205"/>
      <c r="E52" s="205"/>
      <c r="F52" s="205"/>
      <c r="G52" s="205"/>
      <c r="H52" s="205"/>
      <c r="I52" s="206"/>
      <c r="J52" s="206"/>
      <c r="K52" s="206"/>
      <c r="L52" s="206"/>
      <c r="M52" s="206"/>
      <c r="N52" s="206"/>
      <c r="O52" s="207"/>
      <c r="P52" s="207"/>
      <c r="Q52" s="207"/>
      <c r="R52" s="207"/>
      <c r="S52" s="208"/>
      <c r="T52" s="208"/>
      <c r="U52" s="77"/>
      <c r="V52" s="77"/>
      <c r="W52" s="77"/>
      <c r="X52" s="16"/>
      <c r="Y52" s="16"/>
      <c r="Z52" s="16"/>
      <c r="AA52" s="290"/>
    </row>
    <row r="53" spans="1:27" ht="14.4" x14ac:dyDescent="0.3">
      <c r="A53" s="199"/>
      <c r="B53" s="204"/>
      <c r="C53" s="205"/>
      <c r="D53" s="205"/>
      <c r="E53" s="205"/>
      <c r="F53" s="205"/>
      <c r="G53" s="205"/>
      <c r="H53" s="205"/>
      <c r="I53" s="206"/>
      <c r="J53" s="206"/>
      <c r="K53" s="206"/>
      <c r="L53" s="206"/>
      <c r="M53" s="206"/>
      <c r="N53" s="206"/>
      <c r="O53" s="207"/>
      <c r="P53" s="207"/>
      <c r="Q53" s="207"/>
      <c r="R53" s="207"/>
      <c r="S53" s="208"/>
      <c r="T53" s="208"/>
      <c r="U53" s="77"/>
      <c r="V53" s="77"/>
      <c r="W53" s="77"/>
      <c r="X53" s="16"/>
      <c r="Y53" s="16"/>
      <c r="Z53" s="16"/>
      <c r="AA53" s="290"/>
    </row>
    <row r="54" spans="1:27" ht="14.4" x14ac:dyDescent="0.3">
      <c r="A54" s="199"/>
      <c r="B54" s="209" t="s">
        <v>238</v>
      </c>
      <c r="C54" s="205"/>
      <c r="D54" s="205"/>
      <c r="E54" s="205"/>
      <c r="F54" s="205"/>
      <c r="G54" s="205"/>
      <c r="H54" s="205"/>
      <c r="I54" s="206"/>
      <c r="J54" s="206"/>
      <c r="K54" s="206"/>
      <c r="L54" s="206"/>
      <c r="M54" s="206"/>
      <c r="N54" s="206"/>
      <c r="O54" s="207"/>
      <c r="P54" s="207"/>
      <c r="Q54" s="207"/>
      <c r="R54" s="207"/>
      <c r="S54" s="208"/>
      <c r="T54" s="208"/>
      <c r="U54" s="77"/>
      <c r="V54" s="77"/>
      <c r="W54" s="77"/>
      <c r="X54" s="16"/>
      <c r="Y54" s="16"/>
      <c r="Z54" s="16"/>
      <c r="AA54" s="290"/>
    </row>
    <row r="55" spans="1:27" ht="14.4" x14ac:dyDescent="0.3">
      <c r="A55" s="199"/>
      <c r="B55" s="455" t="s">
        <v>27</v>
      </c>
      <c r="C55" s="455" t="s">
        <v>239</v>
      </c>
      <c r="D55" s="455"/>
      <c r="E55" s="455"/>
      <c r="F55" s="455"/>
      <c r="G55" s="455"/>
      <c r="H55" s="455"/>
      <c r="I55" s="533" t="s">
        <v>240</v>
      </c>
      <c r="J55" s="377"/>
      <c r="K55" s="377"/>
      <c r="L55" s="377"/>
      <c r="M55" s="377"/>
      <c r="N55" s="377"/>
      <c r="O55" s="377"/>
      <c r="P55" s="377"/>
      <c r="Q55" s="377"/>
      <c r="R55" s="377"/>
      <c r="S55" s="377"/>
      <c r="T55" s="377"/>
      <c r="U55" s="455" t="s">
        <v>110</v>
      </c>
      <c r="V55" s="455"/>
      <c r="W55" s="455"/>
      <c r="X55" s="455" t="s">
        <v>232</v>
      </c>
      <c r="Y55" s="455"/>
      <c r="Z55" s="455"/>
      <c r="AA55" s="290"/>
    </row>
    <row r="56" spans="1:27" ht="15" thickBot="1" x14ac:dyDescent="0.35">
      <c r="A56" s="199"/>
      <c r="B56" s="532"/>
      <c r="C56" s="532"/>
      <c r="D56" s="532"/>
      <c r="E56" s="532"/>
      <c r="F56" s="532"/>
      <c r="G56" s="532"/>
      <c r="H56" s="532"/>
      <c r="I56" s="382">
        <v>1</v>
      </c>
      <c r="J56" s="383"/>
      <c r="K56" s="383"/>
      <c r="L56" s="384"/>
      <c r="M56" s="382">
        <v>2</v>
      </c>
      <c r="N56" s="383"/>
      <c r="O56" s="383"/>
      <c r="P56" s="384"/>
      <c r="Q56" s="382">
        <v>3</v>
      </c>
      <c r="R56" s="383"/>
      <c r="S56" s="383"/>
      <c r="T56" s="384"/>
      <c r="U56" s="532"/>
      <c r="V56" s="532"/>
      <c r="W56" s="532"/>
      <c r="X56" s="532"/>
      <c r="Y56" s="532"/>
      <c r="Z56" s="532"/>
      <c r="AA56" s="290"/>
    </row>
    <row r="57" spans="1:27" ht="15" thickTop="1" x14ac:dyDescent="0.3">
      <c r="A57" s="199"/>
      <c r="B57" s="202">
        <v>1</v>
      </c>
      <c r="C57" s="534">
        <f>IF(C47=121,15,3)</f>
        <v>3</v>
      </c>
      <c r="D57" s="534"/>
      <c r="E57" s="534"/>
      <c r="F57" s="534"/>
      <c r="G57" s="534"/>
      <c r="H57" s="534"/>
      <c r="I57" s="535">
        <f>'LEMBAR KERJA'!I57</f>
        <v>3</v>
      </c>
      <c r="J57" s="536"/>
      <c r="K57" s="536"/>
      <c r="L57" s="537"/>
      <c r="M57" s="535">
        <f>'LEMBAR KERJA'!I57</f>
        <v>3</v>
      </c>
      <c r="N57" s="536"/>
      <c r="O57" s="536"/>
      <c r="P57" s="537"/>
      <c r="Q57" s="535">
        <f>'LEMBAR KERJA'!I57</f>
        <v>3</v>
      </c>
      <c r="R57" s="536"/>
      <c r="S57" s="536"/>
      <c r="T57" s="537"/>
      <c r="U57" s="538">
        <f>AVERAGE(I57:T57)</f>
        <v>3</v>
      </c>
      <c r="V57" s="538"/>
      <c r="W57" s="538"/>
      <c r="X57" s="539">
        <f>STDEV(I57:T57)</f>
        <v>0</v>
      </c>
      <c r="Y57" s="539"/>
      <c r="Z57" s="539"/>
      <c r="AA57" s="290"/>
    </row>
    <row r="58" spans="1:27" ht="14.4" x14ac:dyDescent="0.3">
      <c r="A58" s="199"/>
      <c r="B58" s="63"/>
      <c r="C58" s="65"/>
      <c r="D58" s="65"/>
      <c r="E58" s="65"/>
      <c r="F58" s="65"/>
      <c r="G58" s="65"/>
      <c r="H58" s="65"/>
      <c r="I58" s="65"/>
      <c r="J58" s="46"/>
      <c r="K58" s="46"/>
      <c r="L58" s="46"/>
      <c r="M58" s="46"/>
      <c r="N58" s="65"/>
      <c r="O58" s="65"/>
      <c r="P58" s="46"/>
      <c r="Q58" s="46"/>
      <c r="R58" s="65"/>
      <c r="S58" s="27"/>
      <c r="T58" s="66"/>
      <c r="U58" s="66"/>
      <c r="V58" s="66"/>
      <c r="W58" s="66"/>
      <c r="X58" s="66"/>
      <c r="Y58" s="66"/>
      <c r="Z58" s="66"/>
      <c r="AA58" s="290"/>
    </row>
    <row r="59" spans="1:27" ht="14.4" x14ac:dyDescent="0.3">
      <c r="A59" s="199"/>
      <c r="B59" s="519" t="s">
        <v>27</v>
      </c>
      <c r="C59" s="521" t="s">
        <v>233</v>
      </c>
      <c r="D59" s="521"/>
      <c r="E59" s="521"/>
      <c r="F59" s="523" t="s">
        <v>111</v>
      </c>
      <c r="G59" s="524"/>
      <c r="H59" s="525"/>
      <c r="I59" s="529" t="s">
        <v>234</v>
      </c>
      <c r="J59" s="529"/>
      <c r="K59" s="529"/>
      <c r="L59" s="529" t="s">
        <v>235</v>
      </c>
      <c r="M59" s="529"/>
      <c r="N59" s="529"/>
      <c r="O59" s="529" t="s">
        <v>236</v>
      </c>
      <c r="P59" s="529"/>
      <c r="Q59" s="529"/>
      <c r="R59" s="529"/>
      <c r="S59" s="521" t="s">
        <v>39</v>
      </c>
      <c r="T59" s="521"/>
      <c r="U59" s="521" t="s">
        <v>106</v>
      </c>
      <c r="V59" s="521"/>
      <c r="W59" s="521"/>
      <c r="X59" s="530" t="s">
        <v>107</v>
      </c>
      <c r="Y59" s="530"/>
      <c r="Z59" s="530"/>
      <c r="AA59" s="290"/>
    </row>
    <row r="60" spans="1:27" ht="15" thickBot="1" x14ac:dyDescent="0.35">
      <c r="A60" s="199"/>
      <c r="B60" s="520"/>
      <c r="C60" s="522"/>
      <c r="D60" s="522"/>
      <c r="E60" s="522"/>
      <c r="F60" s="526"/>
      <c r="G60" s="527"/>
      <c r="H60" s="528"/>
      <c r="I60" s="385"/>
      <c r="J60" s="385"/>
      <c r="K60" s="385"/>
      <c r="L60" s="385"/>
      <c r="M60" s="385"/>
      <c r="N60" s="385"/>
      <c r="O60" s="385"/>
      <c r="P60" s="385"/>
      <c r="Q60" s="385"/>
      <c r="R60" s="385"/>
      <c r="S60" s="522"/>
      <c r="T60" s="522"/>
      <c r="U60" s="522"/>
      <c r="V60" s="522"/>
      <c r="W60" s="522"/>
      <c r="X60" s="531"/>
      <c r="Y60" s="531"/>
      <c r="Z60" s="531"/>
      <c r="AA60" s="290"/>
    </row>
    <row r="61" spans="1:27" ht="15" thickTop="1" x14ac:dyDescent="0.3">
      <c r="A61" s="199"/>
      <c r="B61" s="203">
        <v>1</v>
      </c>
      <c r="C61" s="507">
        <f>U57</f>
        <v>3</v>
      </c>
      <c r="D61" s="507"/>
      <c r="E61" s="507"/>
      <c r="F61" s="507">
        <f>C61-C57</f>
        <v>0</v>
      </c>
      <c r="G61" s="507"/>
      <c r="H61" s="507"/>
      <c r="I61" s="508">
        <f>KETIDAKPASTIAN!K47</f>
        <v>0</v>
      </c>
      <c r="J61" s="508"/>
      <c r="K61" s="508"/>
      <c r="L61" s="508">
        <f>ABS(F61)+ABS(I61)</f>
        <v>0</v>
      </c>
      <c r="M61" s="508"/>
      <c r="N61" s="508"/>
      <c r="O61" s="509" t="s">
        <v>241</v>
      </c>
      <c r="P61" s="509"/>
      <c r="Q61" s="509"/>
      <c r="R61" s="509"/>
      <c r="S61" s="510">
        <v>15</v>
      </c>
      <c r="T61" s="511"/>
      <c r="U61" s="512" t="str">
        <f>IF(L61&lt;=S61,"Lulus","Tidak")</f>
        <v>Lulus</v>
      </c>
      <c r="V61" s="512"/>
      <c r="W61" s="512"/>
      <c r="X61" s="513">
        <f>IF(U61="Lulus",100,IF(#REF!="Lulus",100,0))</f>
        <v>100</v>
      </c>
      <c r="Y61" s="514"/>
      <c r="Z61" s="515"/>
      <c r="AA61" s="290"/>
    </row>
    <row r="62" spans="1:27" ht="14.4" x14ac:dyDescent="0.3">
      <c r="A62" s="199"/>
      <c r="B62" s="204"/>
      <c r="C62" s="205"/>
      <c r="D62" s="205"/>
      <c r="E62" s="205"/>
      <c r="F62" s="205"/>
      <c r="G62" s="205"/>
      <c r="H62" s="205"/>
      <c r="I62" s="205"/>
      <c r="J62" s="205"/>
      <c r="K62" s="205"/>
      <c r="L62" s="206"/>
      <c r="M62" s="206"/>
      <c r="N62" s="206"/>
      <c r="O62" s="207"/>
      <c r="P62" s="207"/>
      <c r="Q62" s="207"/>
      <c r="R62" s="207"/>
      <c r="S62" s="208"/>
      <c r="T62" s="208"/>
      <c r="U62" s="77"/>
      <c r="V62" s="77"/>
      <c r="W62" s="77"/>
      <c r="X62" s="167"/>
      <c r="Y62" s="167"/>
      <c r="Z62" s="167"/>
      <c r="AA62" s="290"/>
    </row>
    <row r="63" spans="1:27" ht="14.4" x14ac:dyDescent="0.3">
      <c r="A63" s="210"/>
      <c r="B63" s="91">
        <v>3</v>
      </c>
      <c r="C63" s="24" t="s">
        <v>242</v>
      </c>
      <c r="D63" s="24"/>
      <c r="E63" s="24"/>
      <c r="F63" s="24"/>
      <c r="G63" s="24"/>
      <c r="H63" s="24"/>
      <c r="I63" s="24"/>
      <c r="J63" s="24"/>
      <c r="K63" s="24"/>
      <c r="L63" s="24"/>
      <c r="M63" s="24"/>
      <c r="N63" s="24"/>
      <c r="O63" s="24"/>
      <c r="P63" s="24"/>
      <c r="Q63" s="24"/>
      <c r="R63" s="24"/>
      <c r="S63" s="24"/>
      <c r="T63" s="24"/>
      <c r="U63" s="24"/>
      <c r="V63" s="24"/>
      <c r="W63" s="24"/>
      <c r="X63" s="24"/>
      <c r="Y63" s="24"/>
      <c r="Z63" s="24"/>
      <c r="AA63" s="291"/>
    </row>
    <row r="64" spans="1:27" ht="15" thickBot="1" x14ac:dyDescent="0.35">
      <c r="A64" s="211"/>
      <c r="B64" s="516" t="s">
        <v>37</v>
      </c>
      <c r="C64" s="517"/>
      <c r="D64" s="517"/>
      <c r="E64" s="517"/>
      <c r="F64" s="517"/>
      <c r="G64" s="517"/>
      <c r="H64" s="517"/>
      <c r="I64" s="518"/>
      <c r="J64" s="516" t="s">
        <v>243</v>
      </c>
      <c r="K64" s="517"/>
      <c r="L64" s="517"/>
      <c r="M64" s="517"/>
      <c r="N64" s="517"/>
      <c r="O64" s="517"/>
      <c r="P64" s="517"/>
      <c r="Q64" s="518"/>
      <c r="R64" s="516" t="s">
        <v>107</v>
      </c>
      <c r="S64" s="517"/>
      <c r="T64" s="517"/>
      <c r="U64" s="517"/>
      <c r="V64" s="517"/>
      <c r="W64" s="517"/>
      <c r="X64" s="517"/>
      <c r="Y64" s="518"/>
      <c r="Z64" s="212"/>
      <c r="AA64" s="291"/>
    </row>
    <row r="65" spans="1:27" ht="15" thickTop="1" x14ac:dyDescent="0.3">
      <c r="A65" s="211"/>
      <c r="B65" s="494" t="str">
        <f>B44</f>
        <v xml:space="preserve">1. Akurasi Temperature </v>
      </c>
      <c r="C65" s="495"/>
      <c r="D65" s="495"/>
      <c r="E65" s="495"/>
      <c r="F65" s="495"/>
      <c r="G65" s="495"/>
      <c r="H65" s="495"/>
      <c r="I65" s="496"/>
      <c r="J65" s="497">
        <f>IF(X51&lt;70,0,X51)</f>
        <v>100</v>
      </c>
      <c r="K65" s="498"/>
      <c r="L65" s="498"/>
      <c r="M65" s="498"/>
      <c r="N65" s="498"/>
      <c r="O65" s="498"/>
      <c r="P65" s="498"/>
      <c r="Q65" s="499"/>
      <c r="R65" s="500">
        <f>J65*50%</f>
        <v>50</v>
      </c>
      <c r="S65" s="501"/>
      <c r="T65" s="501"/>
      <c r="U65" s="501"/>
      <c r="V65" s="501"/>
      <c r="W65" s="501"/>
      <c r="X65" s="501"/>
      <c r="Y65" s="502"/>
      <c r="Z65" s="212"/>
      <c r="AA65" s="292"/>
    </row>
    <row r="66" spans="1:27" ht="14.4" x14ac:dyDescent="0.3">
      <c r="A66" s="211"/>
      <c r="B66" s="503" t="str">
        <f>B54</f>
        <v>2. Akurasi Waktu</v>
      </c>
      <c r="C66" s="495"/>
      <c r="D66" s="495"/>
      <c r="E66" s="495"/>
      <c r="F66" s="495"/>
      <c r="G66" s="495"/>
      <c r="H66" s="495"/>
      <c r="I66" s="496"/>
      <c r="J66" s="497">
        <f>IF(X61&lt;70,0,X61)</f>
        <v>100</v>
      </c>
      <c r="K66" s="498"/>
      <c r="L66" s="498"/>
      <c r="M66" s="498"/>
      <c r="N66" s="498"/>
      <c r="O66" s="498"/>
      <c r="P66" s="498"/>
      <c r="Q66" s="499"/>
      <c r="R66" s="504">
        <f>J66*50%</f>
        <v>50</v>
      </c>
      <c r="S66" s="505"/>
      <c r="T66" s="505"/>
      <c r="U66" s="505"/>
      <c r="V66" s="505"/>
      <c r="W66" s="505"/>
      <c r="X66" s="505"/>
      <c r="Y66" s="506"/>
      <c r="Z66" s="212"/>
      <c r="AA66" s="292"/>
    </row>
    <row r="68" spans="1:27" x14ac:dyDescent="0.25">
      <c r="A68" s="46" t="s">
        <v>282</v>
      </c>
      <c r="B68" s="27" t="s">
        <v>112</v>
      </c>
      <c r="C68" s="27"/>
      <c r="D68" s="27"/>
      <c r="E68" s="27"/>
      <c r="F68" s="27"/>
      <c r="G68" s="27"/>
      <c r="H68" s="27"/>
      <c r="I68" s="24"/>
      <c r="J68" s="24"/>
      <c r="K68" s="24"/>
      <c r="L68" s="24"/>
      <c r="M68" s="24"/>
      <c r="N68" s="24"/>
      <c r="O68" s="24"/>
      <c r="P68" s="24"/>
      <c r="Q68" s="24"/>
      <c r="R68" s="24"/>
      <c r="S68" s="24"/>
      <c r="T68" s="24"/>
      <c r="U68" s="24"/>
      <c r="V68" s="24"/>
      <c r="W68" s="24"/>
      <c r="X68" s="24"/>
      <c r="Y68" s="24"/>
      <c r="Z68" s="24"/>
      <c r="AA68" s="24"/>
    </row>
    <row r="69" spans="1:27" x14ac:dyDescent="0.25">
      <c r="B69" s="38" t="s">
        <v>27</v>
      </c>
      <c r="C69" s="575" t="s">
        <v>37</v>
      </c>
      <c r="D69" s="576"/>
      <c r="E69" s="576"/>
      <c r="F69" s="576"/>
      <c r="G69" s="588"/>
      <c r="H69" s="647" t="s">
        <v>113</v>
      </c>
      <c r="I69" s="648"/>
      <c r="J69" s="649"/>
      <c r="K69" s="575" t="s">
        <v>114</v>
      </c>
      <c r="L69" s="576"/>
      <c r="M69" s="576"/>
      <c r="N69" s="588"/>
      <c r="O69" s="593" t="s">
        <v>115</v>
      </c>
      <c r="P69" s="594"/>
      <c r="Q69" s="594"/>
      <c r="R69" s="594"/>
      <c r="S69" s="594"/>
      <c r="T69" s="594"/>
      <c r="U69" s="594"/>
      <c r="V69" s="594"/>
      <c r="W69" s="594"/>
      <c r="X69" s="594"/>
      <c r="Y69" s="594"/>
      <c r="Z69" s="594"/>
      <c r="AA69" s="595"/>
    </row>
    <row r="70" spans="1:27" ht="14.25" customHeight="1" x14ac:dyDescent="0.25">
      <c r="B70" s="67">
        <v>1</v>
      </c>
      <c r="C70" s="640" t="str">
        <f>B27</f>
        <v>Pemeriksaan Fisik dan Fungsi Alat</v>
      </c>
      <c r="D70" s="641"/>
      <c r="E70" s="641"/>
      <c r="F70" s="641"/>
      <c r="G70" s="642"/>
      <c r="H70" s="589">
        <f>P29</f>
        <v>10</v>
      </c>
      <c r="I70" s="590"/>
      <c r="J70" s="592"/>
      <c r="K70" s="646">
        <f>SUM(H70:J72)</f>
        <v>60</v>
      </c>
      <c r="L70" s="646"/>
      <c r="M70" s="646"/>
      <c r="N70" s="646"/>
      <c r="O70" s="650" t="str">
        <f>IF((K70)&gt;=90,"Laik Pakai","")</f>
        <v/>
      </c>
      <c r="P70" s="650"/>
      <c r="Q70" s="650"/>
      <c r="R70" s="650"/>
      <c r="S70" s="650"/>
      <c r="T70" s="650"/>
      <c r="U70" s="651" t="str">
        <f>IF((K70)&lt;90,"Tidak Laik Pakai","")</f>
        <v>Tidak Laik Pakai</v>
      </c>
      <c r="V70" s="651"/>
      <c r="W70" s="651"/>
      <c r="X70" s="651"/>
      <c r="Y70" s="651"/>
      <c r="Z70" s="651"/>
      <c r="AA70" s="651"/>
    </row>
    <row r="71" spans="1:27" ht="14.25" customHeight="1" x14ac:dyDescent="0.25">
      <c r="B71" s="67">
        <v>2</v>
      </c>
      <c r="C71" s="643" t="str">
        <f>B36</f>
        <v>Pengukuran Keselamatan Listrik</v>
      </c>
      <c r="D71" s="644"/>
      <c r="E71" s="644"/>
      <c r="F71" s="644"/>
      <c r="G71" s="645"/>
      <c r="H71" s="646">
        <f>W38</f>
        <v>0</v>
      </c>
      <c r="I71" s="646"/>
      <c r="J71" s="646"/>
      <c r="K71" s="646"/>
      <c r="L71" s="646"/>
      <c r="M71" s="646"/>
      <c r="N71" s="646"/>
      <c r="O71" s="650"/>
      <c r="P71" s="650"/>
      <c r="Q71" s="650"/>
      <c r="R71" s="650"/>
      <c r="S71" s="650"/>
      <c r="T71" s="650"/>
      <c r="U71" s="651"/>
      <c r="V71" s="651"/>
      <c r="W71" s="651"/>
      <c r="X71" s="651"/>
      <c r="Y71" s="651"/>
      <c r="Z71" s="651"/>
      <c r="AA71" s="651"/>
    </row>
    <row r="72" spans="1:27" x14ac:dyDescent="0.25">
      <c r="B72" s="67">
        <v>3</v>
      </c>
      <c r="C72" s="643" t="str">
        <f>C63</f>
        <v>Hasil Pengukuran Kinerja</v>
      </c>
      <c r="D72" s="644"/>
      <c r="E72" s="644"/>
      <c r="F72" s="644"/>
      <c r="G72" s="645"/>
      <c r="H72" s="646">
        <f>IF(R65&lt;50,0,R65)</f>
        <v>50</v>
      </c>
      <c r="I72" s="646"/>
      <c r="J72" s="646"/>
      <c r="K72" s="646"/>
      <c r="L72" s="646"/>
      <c r="M72" s="646"/>
      <c r="N72" s="646"/>
      <c r="O72" s="650"/>
      <c r="P72" s="650"/>
      <c r="Q72" s="650"/>
      <c r="R72" s="650"/>
      <c r="S72" s="650"/>
      <c r="T72" s="650"/>
      <c r="U72" s="651"/>
      <c r="V72" s="651"/>
      <c r="W72" s="651"/>
      <c r="X72" s="651"/>
      <c r="Y72" s="651"/>
      <c r="Z72" s="651"/>
      <c r="AA72" s="651"/>
    </row>
    <row r="1048523" spans="9:23" x14ac:dyDescent="0.25">
      <c r="I1048523" s="639"/>
      <c r="J1048523" s="639"/>
      <c r="K1048523" s="639"/>
      <c r="O1048523" s="637"/>
      <c r="P1048523" s="637"/>
      <c r="Q1048523" s="637"/>
      <c r="U1048523" s="638"/>
      <c r="V1048523" s="638"/>
      <c r="W1048523" s="638"/>
    </row>
  </sheetData>
  <mergeCells count="188">
    <mergeCell ref="X47:Z47"/>
    <mergeCell ref="X49:Z50"/>
    <mergeCell ref="C51:E51"/>
    <mergeCell ref="F51:H51"/>
    <mergeCell ref="I51:K51"/>
    <mergeCell ref="L51:N51"/>
    <mergeCell ref="O51:R51"/>
    <mergeCell ref="S51:T51"/>
    <mergeCell ref="U51:W51"/>
    <mergeCell ref="X51:Z51"/>
    <mergeCell ref="O1048523:Q1048523"/>
    <mergeCell ref="U1048523:W1048523"/>
    <mergeCell ref="I1048523:K1048523"/>
    <mergeCell ref="C70:G70"/>
    <mergeCell ref="H70:J70"/>
    <mergeCell ref="C71:G71"/>
    <mergeCell ref="H71:J71"/>
    <mergeCell ref="C69:G69"/>
    <mergeCell ref="H69:J69"/>
    <mergeCell ref="K69:N69"/>
    <mergeCell ref="O69:AA69"/>
    <mergeCell ref="K70:N72"/>
    <mergeCell ref="O70:T72"/>
    <mergeCell ref="U70:AA72"/>
    <mergeCell ref="C72:G72"/>
    <mergeCell ref="H72:J72"/>
    <mergeCell ref="J40:L40"/>
    <mergeCell ref="N40:P40"/>
    <mergeCell ref="T40:V40"/>
    <mergeCell ref="C41:I41"/>
    <mergeCell ref="J41:L41"/>
    <mergeCell ref="N41:P41"/>
    <mergeCell ref="T41:V41"/>
    <mergeCell ref="T37:V37"/>
    <mergeCell ref="W37:Y37"/>
    <mergeCell ref="J39:L39"/>
    <mergeCell ref="N39:P39"/>
    <mergeCell ref="T39:V39"/>
    <mergeCell ref="C40:I40"/>
    <mergeCell ref="C28:J28"/>
    <mergeCell ref="K28:O28"/>
    <mergeCell ref="P28:T28"/>
    <mergeCell ref="U28:X28"/>
    <mergeCell ref="C29:J29"/>
    <mergeCell ref="K29:O29"/>
    <mergeCell ref="C30:J30"/>
    <mergeCell ref="K30:O30"/>
    <mergeCell ref="P29:T34"/>
    <mergeCell ref="U29:X34"/>
    <mergeCell ref="C34:J34"/>
    <mergeCell ref="K34:O34"/>
    <mergeCell ref="C31:J31"/>
    <mergeCell ref="AA23:AC23"/>
    <mergeCell ref="AD23:AF23"/>
    <mergeCell ref="X24:Z24"/>
    <mergeCell ref="AA24:AC24"/>
    <mergeCell ref="AD24:AF24"/>
    <mergeCell ref="C25:G25"/>
    <mergeCell ref="K25:T25"/>
    <mergeCell ref="U25:W25"/>
    <mergeCell ref="X25:Z25"/>
    <mergeCell ref="AA25:AC25"/>
    <mergeCell ref="AD25:AF25"/>
    <mergeCell ref="C24:J24"/>
    <mergeCell ref="K24:M24"/>
    <mergeCell ref="N24:O24"/>
    <mergeCell ref="P24:R24"/>
    <mergeCell ref="S24:T24"/>
    <mergeCell ref="U24:W24"/>
    <mergeCell ref="X23:Z23"/>
    <mergeCell ref="K12:U12"/>
    <mergeCell ref="K13:U13"/>
    <mergeCell ref="Z17:AC17"/>
    <mergeCell ref="U17:Y17"/>
    <mergeCell ref="C18:J18"/>
    <mergeCell ref="K18:O18"/>
    <mergeCell ref="P18:T18"/>
    <mergeCell ref="U18:Y18"/>
    <mergeCell ref="AD22:AF22"/>
    <mergeCell ref="C22:J22"/>
    <mergeCell ref="K22:O22"/>
    <mergeCell ref="P22:T22"/>
    <mergeCell ref="U22:W22"/>
    <mergeCell ref="X22:Z22"/>
    <mergeCell ref="AA22:AC22"/>
    <mergeCell ref="Z18:AC18"/>
    <mergeCell ref="Z19:AC19"/>
    <mergeCell ref="C19:J19"/>
    <mergeCell ref="K19:O19"/>
    <mergeCell ref="P19:T19"/>
    <mergeCell ref="U19:Y19"/>
    <mergeCell ref="A1:AF1"/>
    <mergeCell ref="A2:AF2"/>
    <mergeCell ref="A3:AF3"/>
    <mergeCell ref="K5:U5"/>
    <mergeCell ref="K6:U6"/>
    <mergeCell ref="K7:U7"/>
    <mergeCell ref="K8:U8"/>
    <mergeCell ref="K10:U10"/>
    <mergeCell ref="K11:U11"/>
    <mergeCell ref="B49:B50"/>
    <mergeCell ref="C49:E50"/>
    <mergeCell ref="K14:U14"/>
    <mergeCell ref="C17:J17"/>
    <mergeCell ref="K17:O17"/>
    <mergeCell ref="P17:T17"/>
    <mergeCell ref="C23:J23"/>
    <mergeCell ref="K23:M23"/>
    <mergeCell ref="N23:O23"/>
    <mergeCell ref="P23:R23"/>
    <mergeCell ref="S23:T23"/>
    <mergeCell ref="U23:W23"/>
    <mergeCell ref="C47:H47"/>
    <mergeCell ref="I47:L47"/>
    <mergeCell ref="M47:P47"/>
    <mergeCell ref="Q47:T47"/>
    <mergeCell ref="U47:W47"/>
    <mergeCell ref="F49:H50"/>
    <mergeCell ref="I49:K50"/>
    <mergeCell ref="L49:N50"/>
    <mergeCell ref="O49:R50"/>
    <mergeCell ref="S49:T50"/>
    <mergeCell ref="U49:W50"/>
    <mergeCell ref="K31:O31"/>
    <mergeCell ref="B45:B46"/>
    <mergeCell ref="C45:H46"/>
    <mergeCell ref="I45:T45"/>
    <mergeCell ref="U45:W46"/>
    <mergeCell ref="X45:Z46"/>
    <mergeCell ref="I46:L46"/>
    <mergeCell ref="M46:P46"/>
    <mergeCell ref="Q46:T46"/>
    <mergeCell ref="C32:J32"/>
    <mergeCell ref="K32:O32"/>
    <mergeCell ref="C33:J33"/>
    <mergeCell ref="K33:O33"/>
    <mergeCell ref="Z37:AB37"/>
    <mergeCell ref="C38:I38"/>
    <mergeCell ref="J38:L38"/>
    <mergeCell ref="N38:P38"/>
    <mergeCell ref="T38:V38"/>
    <mergeCell ref="W38:Y41"/>
    <mergeCell ref="Z38:AB41"/>
    <mergeCell ref="C39:I39"/>
    <mergeCell ref="C37:I37"/>
    <mergeCell ref="J37:M37"/>
    <mergeCell ref="N37:P37"/>
    <mergeCell ref="Q37:S37"/>
    <mergeCell ref="B55:B56"/>
    <mergeCell ref="C55:H56"/>
    <mergeCell ref="I55:T55"/>
    <mergeCell ref="U55:W56"/>
    <mergeCell ref="X55:Z56"/>
    <mergeCell ref="I56:L56"/>
    <mergeCell ref="M56:P56"/>
    <mergeCell ref="Q56:T56"/>
    <mergeCell ref="C57:H57"/>
    <mergeCell ref="I57:L57"/>
    <mergeCell ref="M57:P57"/>
    <mergeCell ref="Q57:T57"/>
    <mergeCell ref="U57:W57"/>
    <mergeCell ref="X57:Z57"/>
    <mergeCell ref="B59:B60"/>
    <mergeCell ref="C59:E60"/>
    <mergeCell ref="F59:H60"/>
    <mergeCell ref="I59:K60"/>
    <mergeCell ref="L59:N60"/>
    <mergeCell ref="O59:R60"/>
    <mergeCell ref="S59:T60"/>
    <mergeCell ref="U59:W60"/>
    <mergeCell ref="X59:Z60"/>
    <mergeCell ref="B65:I65"/>
    <mergeCell ref="J65:Q65"/>
    <mergeCell ref="R65:Y65"/>
    <mergeCell ref="B66:I66"/>
    <mergeCell ref="J66:Q66"/>
    <mergeCell ref="R66:Y66"/>
    <mergeCell ref="C61:E61"/>
    <mergeCell ref="F61:H61"/>
    <mergeCell ref="I61:K61"/>
    <mergeCell ref="L61:N61"/>
    <mergeCell ref="O61:R61"/>
    <mergeCell ref="S61:T61"/>
    <mergeCell ref="U61:W61"/>
    <mergeCell ref="X61:Z61"/>
    <mergeCell ref="B64:I64"/>
    <mergeCell ref="J64:Q64"/>
    <mergeCell ref="R64:Y6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1FAF1-D402-402F-BBCA-A29C20B2CE42}">
  <dimension ref="A1:AD60"/>
  <sheetViews>
    <sheetView topLeftCell="O1" zoomScale="79" workbookViewId="0">
      <selection activeCell="W9" sqref="W9"/>
    </sheetView>
  </sheetViews>
  <sheetFormatPr defaultColWidth="11.21875" defaultRowHeight="14.4" x14ac:dyDescent="0.3"/>
  <cols>
    <col min="1" max="1" width="4" customWidth="1"/>
    <col min="2" max="2" width="19.5546875" customWidth="1"/>
    <col min="3" max="12" width="10.5546875" customWidth="1"/>
    <col min="13" max="13" width="4" customWidth="1"/>
    <col min="14" max="15" width="10.5546875" customWidth="1"/>
    <col min="20" max="20" width="41.21875" bestFit="1" customWidth="1"/>
  </cols>
  <sheetData>
    <row r="1" spans="1:30" ht="21" x14ac:dyDescent="0.4">
      <c r="A1" s="652" t="s">
        <v>249</v>
      </c>
      <c r="B1" s="653"/>
      <c r="C1" s="653"/>
      <c r="D1" s="653"/>
      <c r="E1" s="653"/>
      <c r="F1" s="653"/>
      <c r="G1" s="653"/>
      <c r="H1" s="653"/>
      <c r="I1" s="653"/>
      <c r="J1" s="653"/>
      <c r="K1" s="653"/>
      <c r="L1" s="653"/>
      <c r="M1" s="654"/>
      <c r="N1" s="229"/>
      <c r="O1" s="229"/>
      <c r="P1" s="229"/>
      <c r="Q1" s="229"/>
      <c r="S1" s="660"/>
      <c r="T1" s="660"/>
      <c r="U1" s="660"/>
      <c r="V1" s="660"/>
      <c r="W1" s="660"/>
      <c r="X1" s="660"/>
      <c r="Y1" s="660"/>
      <c r="Z1" s="660"/>
      <c r="AA1" s="660"/>
      <c r="AB1" s="660"/>
      <c r="AC1" s="660"/>
      <c r="AD1" s="660"/>
    </row>
    <row r="2" spans="1:30" s="217" customFormat="1" ht="21" x14ac:dyDescent="0.4">
      <c r="A2" s="655" t="str">
        <f>'[1]PENGOLAHAN DATA'!A3</f>
        <v>AUTOCLAVE</v>
      </c>
      <c r="B2" s="656"/>
      <c r="C2" s="656"/>
      <c r="D2" s="656"/>
      <c r="E2" s="656"/>
      <c r="F2" s="656"/>
      <c r="G2" s="656"/>
      <c r="H2" s="656"/>
      <c r="I2" s="656"/>
      <c r="J2" s="656"/>
      <c r="K2" s="656"/>
      <c r="L2" s="656"/>
      <c r="M2" s="657"/>
      <c r="N2" s="229"/>
      <c r="O2" s="229"/>
      <c r="P2" s="229"/>
      <c r="Q2" s="229"/>
      <c r="S2" s="660"/>
      <c r="T2" s="660"/>
      <c r="U2" s="660"/>
      <c r="V2" s="660"/>
      <c r="W2" s="660"/>
      <c r="X2" s="660"/>
      <c r="Y2" s="660"/>
      <c r="Z2" s="660"/>
      <c r="AA2" s="660"/>
      <c r="AB2" s="660"/>
      <c r="AC2" s="660"/>
      <c r="AD2" s="660"/>
    </row>
    <row r="3" spans="1:30" s="217" customFormat="1" ht="15" customHeight="1" x14ac:dyDescent="0.4">
      <c r="A3" s="230"/>
      <c r="B3" s="231"/>
      <c r="C3" s="231"/>
      <c r="E3" s="231"/>
      <c r="F3" s="231"/>
      <c r="G3" s="231"/>
      <c r="H3" s="231"/>
      <c r="I3" s="231"/>
      <c r="J3" s="231"/>
      <c r="K3" s="231"/>
      <c r="L3" s="231"/>
      <c r="M3" s="232"/>
      <c r="N3" s="231"/>
      <c r="O3" s="231"/>
      <c r="P3" s="231"/>
      <c r="Q3" s="231"/>
      <c r="S3" s="302"/>
      <c r="T3" s="303">
        <f>'[2]PENGOLAHAN DATA'!I58</f>
        <v>0</v>
      </c>
      <c r="U3" s="304"/>
      <c r="V3" s="304"/>
      <c r="W3" s="305"/>
      <c r="X3" s="305"/>
      <c r="Y3" s="305"/>
      <c r="Z3" s="305"/>
      <c r="AA3" s="305"/>
      <c r="AB3" s="305"/>
      <c r="AC3" s="305"/>
      <c r="AD3" s="305"/>
    </row>
    <row r="4" spans="1:30" ht="15" customHeight="1" x14ac:dyDescent="0.3">
      <c r="A4" s="233"/>
      <c r="B4" s="234" t="s">
        <v>250</v>
      </c>
      <c r="C4" s="235" t="s">
        <v>49</v>
      </c>
      <c r="D4" s="236">
        <v>3</v>
      </c>
      <c r="E4" s="237"/>
      <c r="F4" s="238"/>
      <c r="G4" s="238"/>
      <c r="H4" s="238"/>
      <c r="I4" s="238"/>
      <c r="J4" s="239"/>
      <c r="K4" s="239"/>
      <c r="L4" s="240"/>
      <c r="M4" s="241"/>
      <c r="N4" s="242"/>
      <c r="O4" s="243"/>
      <c r="P4" s="244"/>
      <c r="Q4" s="245"/>
      <c r="S4" s="306"/>
      <c r="T4" s="307" t="s">
        <v>250</v>
      </c>
      <c r="U4" s="308" t="s">
        <v>49</v>
      </c>
      <c r="V4" s="305">
        <v>3</v>
      </c>
      <c r="W4" s="309"/>
      <c r="X4" s="310"/>
      <c r="Y4" s="310"/>
      <c r="Z4" s="310"/>
      <c r="AA4" s="310"/>
      <c r="AB4" s="311"/>
      <c r="AC4" s="311"/>
      <c r="AD4" s="312"/>
    </row>
    <row r="5" spans="1:30" ht="15" customHeight="1" x14ac:dyDescent="0.3">
      <c r="A5" s="233"/>
      <c r="B5" s="235" t="s">
        <v>251</v>
      </c>
      <c r="C5" s="235" t="s">
        <v>49</v>
      </c>
      <c r="D5" s="246">
        <f>'LEMBAR KERJA'!F11</f>
        <v>0.1</v>
      </c>
      <c r="E5" s="247" t="s">
        <v>41</v>
      </c>
      <c r="F5" s="248"/>
      <c r="G5" s="248"/>
      <c r="H5" s="248"/>
      <c r="I5" s="248"/>
      <c r="J5" s="248"/>
      <c r="K5" s="248"/>
      <c r="L5" s="248"/>
      <c r="M5" s="249"/>
      <c r="S5" s="313"/>
      <c r="T5" s="308" t="s">
        <v>251</v>
      </c>
      <c r="U5" s="308" t="s">
        <v>49</v>
      </c>
      <c r="V5" s="304">
        <v>0.01</v>
      </c>
      <c r="W5" s="305" t="s">
        <v>374</v>
      </c>
      <c r="X5" s="314"/>
      <c r="Y5" s="314"/>
      <c r="Z5" s="314"/>
      <c r="AA5" s="314"/>
      <c r="AB5" s="314"/>
      <c r="AC5" s="314"/>
      <c r="AD5" s="314"/>
    </row>
    <row r="6" spans="1:30" ht="15" customHeight="1" x14ac:dyDescent="0.3">
      <c r="A6" s="233"/>
      <c r="B6" s="235"/>
      <c r="C6" s="235"/>
      <c r="D6" s="246"/>
      <c r="E6" s="235"/>
      <c r="F6" s="248"/>
      <c r="G6" s="248"/>
      <c r="H6" s="248"/>
      <c r="I6" s="248"/>
      <c r="J6" s="248"/>
      <c r="K6" s="248"/>
      <c r="L6" s="248"/>
      <c r="M6" s="249"/>
      <c r="S6" s="313"/>
      <c r="T6" s="315"/>
      <c r="U6" s="315"/>
      <c r="V6" s="316"/>
      <c r="W6" s="314"/>
      <c r="X6" s="314"/>
      <c r="Y6" s="314"/>
      <c r="Z6" s="314"/>
      <c r="AA6" s="314"/>
      <c r="AB6" s="314"/>
      <c r="AC6" s="314"/>
      <c r="AD6" s="314"/>
    </row>
    <row r="7" spans="1:30" ht="15" customHeight="1" x14ac:dyDescent="0.3">
      <c r="A7" s="233"/>
      <c r="B7" s="658" t="s">
        <v>252</v>
      </c>
      <c r="C7" s="658"/>
      <c r="D7" s="658"/>
      <c r="E7" s="658"/>
      <c r="F7" s="658"/>
      <c r="G7" s="658"/>
      <c r="H7" s="658"/>
      <c r="I7" s="658"/>
      <c r="J7" s="658"/>
      <c r="K7" s="658"/>
      <c r="L7" s="658"/>
      <c r="M7" s="249"/>
      <c r="S7" s="313"/>
      <c r="T7" s="315" t="s">
        <v>253</v>
      </c>
      <c r="U7" s="315"/>
      <c r="V7" s="317">
        <f>'[2]PENGOLAHAN DATA'!J61</f>
        <v>0</v>
      </c>
      <c r="W7" s="314" t="str">
        <f>W5</f>
        <v>detik</v>
      </c>
      <c r="X7" s="314"/>
      <c r="Y7" s="314"/>
      <c r="Z7" s="314"/>
      <c r="AA7" s="314"/>
      <c r="AB7" s="314"/>
      <c r="AC7" s="314"/>
      <c r="AD7" s="314"/>
    </row>
    <row r="8" spans="1:30" ht="15" customHeight="1" x14ac:dyDescent="0.3">
      <c r="A8" s="250">
        <v>1</v>
      </c>
      <c r="B8" s="235" t="s">
        <v>253</v>
      </c>
      <c r="C8" s="235"/>
      <c r="D8" s="251">
        <v>121</v>
      </c>
      <c r="E8" s="235"/>
      <c r="F8" s="248"/>
      <c r="G8" s="248"/>
      <c r="H8" s="248"/>
      <c r="I8" s="248"/>
      <c r="J8" s="248"/>
      <c r="K8" s="248"/>
      <c r="L8" s="248"/>
      <c r="M8" s="249"/>
      <c r="S8" s="313"/>
      <c r="T8" s="318" t="s">
        <v>254</v>
      </c>
      <c r="U8" s="318" t="s">
        <v>255</v>
      </c>
      <c r="V8" s="318" t="s">
        <v>256</v>
      </c>
      <c r="W8" s="318" t="s">
        <v>257</v>
      </c>
      <c r="X8" s="318" t="s">
        <v>258</v>
      </c>
      <c r="Y8" s="318" t="s">
        <v>259</v>
      </c>
      <c r="Z8" s="318" t="s">
        <v>260</v>
      </c>
      <c r="AA8" s="318" t="s">
        <v>261</v>
      </c>
      <c r="AB8" s="318" t="s">
        <v>262</v>
      </c>
      <c r="AC8" s="318" t="s">
        <v>263</v>
      </c>
      <c r="AD8" s="319" t="s">
        <v>264</v>
      </c>
    </row>
    <row r="9" spans="1:30" ht="15" customHeight="1" x14ac:dyDescent="0.3">
      <c r="A9" s="250"/>
      <c r="B9" s="252" t="s">
        <v>254</v>
      </c>
      <c r="C9" s="252" t="s">
        <v>255</v>
      </c>
      <c r="D9" s="252" t="s">
        <v>256</v>
      </c>
      <c r="E9" s="252" t="s">
        <v>257</v>
      </c>
      <c r="F9" s="252" t="s">
        <v>258</v>
      </c>
      <c r="G9" s="252" t="s">
        <v>259</v>
      </c>
      <c r="H9" s="252" t="s">
        <v>260</v>
      </c>
      <c r="I9" s="252" t="s">
        <v>261</v>
      </c>
      <c r="J9" s="252" t="s">
        <v>262</v>
      </c>
      <c r="K9" s="252" t="s">
        <v>263</v>
      </c>
      <c r="L9" s="252" t="s">
        <v>264</v>
      </c>
      <c r="M9" s="253"/>
      <c r="N9" t="s">
        <v>265</v>
      </c>
      <c r="P9" s="254"/>
      <c r="Q9" s="254"/>
      <c r="R9" s="254"/>
      <c r="S9" s="313"/>
      <c r="T9" s="320" t="s">
        <v>266</v>
      </c>
      <c r="U9" s="321" t="s">
        <v>374</v>
      </c>
      <c r="V9" s="322" t="s">
        <v>375</v>
      </c>
      <c r="W9" s="323">
        <f>'PENGOLAHAN DATA'!X57</f>
        <v>0</v>
      </c>
      <c r="X9" s="323">
        <f>SQRT(V4)</f>
        <v>1.7320508075688772</v>
      </c>
      <c r="Y9" s="324">
        <f>V4-1</f>
        <v>2</v>
      </c>
      <c r="Z9" s="323">
        <f>W9/X9</f>
        <v>0</v>
      </c>
      <c r="AA9" s="324">
        <v>1</v>
      </c>
      <c r="AB9" s="325">
        <f>Z9*AA9</f>
        <v>0</v>
      </c>
      <c r="AC9" s="325">
        <f t="shared" ref="AC9:AC14" si="0">AB9^2</f>
        <v>0</v>
      </c>
      <c r="AD9" s="326">
        <f t="shared" ref="AD9:AD14" si="1">AC9^2/Y9</f>
        <v>0</v>
      </c>
    </row>
    <row r="10" spans="1:30" ht="15" customHeight="1" x14ac:dyDescent="0.3">
      <c r="A10" s="250"/>
      <c r="B10" s="255" t="s">
        <v>266</v>
      </c>
      <c r="C10" s="247" t="s">
        <v>41</v>
      </c>
      <c r="D10" s="255" t="s">
        <v>267</v>
      </c>
      <c r="E10" s="256">
        <f>'PENGOLAHAN DATA'!X47</f>
        <v>5.7735026918959292E-2</v>
      </c>
      <c r="F10" s="256">
        <f>SQRT(D4)</f>
        <v>1.7320508075688772</v>
      </c>
      <c r="G10" s="255">
        <f>D4-1</f>
        <v>2</v>
      </c>
      <c r="H10" s="256">
        <f>E10/F10</f>
        <v>3.3333333333331439E-2</v>
      </c>
      <c r="I10" s="257">
        <v>1</v>
      </c>
      <c r="J10" s="256">
        <f>H10*I10</f>
        <v>3.3333333333331439E-2</v>
      </c>
      <c r="K10" s="256">
        <f>J10^2</f>
        <v>1.1111111111109847E-3</v>
      </c>
      <c r="L10" s="258">
        <f>K10^2/G10</f>
        <v>6.1728395061714346E-7</v>
      </c>
      <c r="M10" s="259"/>
      <c r="N10" t="s">
        <v>268</v>
      </c>
      <c r="O10" s="260"/>
      <c r="P10" t="s">
        <v>269</v>
      </c>
      <c r="Q10" s="254"/>
      <c r="R10" s="254"/>
      <c r="S10" s="327"/>
      <c r="T10" s="320" t="s">
        <v>270</v>
      </c>
      <c r="U10" s="321" t="s">
        <v>374</v>
      </c>
      <c r="V10" s="322" t="s">
        <v>375</v>
      </c>
      <c r="W10" s="323">
        <f>'SERTIFIKAT STOPWATCH'!K13</f>
        <v>2.9000000000000001E-2</v>
      </c>
      <c r="X10" s="323">
        <v>2</v>
      </c>
      <c r="Y10" s="324">
        <v>60</v>
      </c>
      <c r="Z10" s="323">
        <f t="shared" ref="Z10:Z14" si="2">W10/X10</f>
        <v>1.4500000000000001E-2</v>
      </c>
      <c r="AA10" s="324">
        <v>1</v>
      </c>
      <c r="AB10" s="325">
        <f t="shared" ref="AB10:AB14" si="3">Z10*AA10</f>
        <v>1.4500000000000001E-2</v>
      </c>
      <c r="AC10" s="325">
        <f t="shared" si="0"/>
        <v>2.1025000000000001E-4</v>
      </c>
      <c r="AD10" s="326">
        <f t="shared" si="1"/>
        <v>7.3675104166666672E-10</v>
      </c>
    </row>
    <row r="11" spans="1:30" ht="15" customHeight="1" x14ac:dyDescent="0.3">
      <c r="A11" s="250"/>
      <c r="B11" s="255" t="s">
        <v>270</v>
      </c>
      <c r="C11" s="247" t="s">
        <v>41</v>
      </c>
      <c r="D11" s="255" t="s">
        <v>267</v>
      </c>
      <c r="E11" s="274">
        <f>'SERT. DATA LOGGER'!H15</f>
        <v>3.5999999999999997E-2</v>
      </c>
      <c r="F11" s="256">
        <v>2</v>
      </c>
      <c r="G11" s="255">
        <v>60</v>
      </c>
      <c r="H11" s="256">
        <f>E11/F11</f>
        <v>1.7999999999999999E-2</v>
      </c>
      <c r="I11" s="257">
        <v>1</v>
      </c>
      <c r="J11" s="256">
        <f>H11*I11</f>
        <v>1.7999999999999999E-2</v>
      </c>
      <c r="K11" s="256">
        <f>J11^2</f>
        <v>3.2399999999999996E-4</v>
      </c>
      <c r="L11" s="258">
        <f>K11^2/G11</f>
        <v>1.7495999999999996E-9</v>
      </c>
      <c r="M11" s="249"/>
      <c r="N11" t="s">
        <v>271</v>
      </c>
      <c r="O11" s="254"/>
      <c r="P11" s="254"/>
      <c r="Q11" s="254"/>
      <c r="R11" s="254"/>
      <c r="S11" s="328"/>
      <c r="T11" s="320" t="s">
        <v>272</v>
      </c>
      <c r="U11" s="321" t="s">
        <v>374</v>
      </c>
      <c r="V11" s="322" t="s">
        <v>273</v>
      </c>
      <c r="W11" s="323">
        <f>10%*99.997685%</f>
        <v>9.9997685000000003E-2</v>
      </c>
      <c r="X11" s="323">
        <f>SQRT(3)</f>
        <v>1.7320508075688772</v>
      </c>
      <c r="Y11" s="324">
        <v>50</v>
      </c>
      <c r="Z11" s="323">
        <f t="shared" si="2"/>
        <v>5.7733690353089409E-2</v>
      </c>
      <c r="AA11" s="324">
        <v>1</v>
      </c>
      <c r="AB11" s="325">
        <f t="shared" si="3"/>
        <v>5.7733690353089409E-2</v>
      </c>
      <c r="AC11" s="325">
        <f t="shared" si="0"/>
        <v>3.333179001786409E-3</v>
      </c>
      <c r="AD11" s="326">
        <f t="shared" si="1"/>
        <v>2.2220164515899682E-7</v>
      </c>
    </row>
    <row r="12" spans="1:30" ht="15" customHeight="1" x14ac:dyDescent="0.3">
      <c r="A12" s="250"/>
      <c r="B12" s="255" t="s">
        <v>272</v>
      </c>
      <c r="C12" s="247" t="s">
        <v>41</v>
      </c>
      <c r="D12" s="255" t="s">
        <v>273</v>
      </c>
      <c r="E12" s="256">
        <f>10%*0.1</f>
        <v>1.0000000000000002E-2</v>
      </c>
      <c r="F12" s="256">
        <f>SQRT(3)</f>
        <v>1.7320508075688772</v>
      </c>
      <c r="G12" s="255">
        <v>50</v>
      </c>
      <c r="H12" s="256">
        <f>E12/F12</f>
        <v>5.7735026918962588E-3</v>
      </c>
      <c r="I12" s="257">
        <v>1</v>
      </c>
      <c r="J12" s="256">
        <f>H12*I12</f>
        <v>5.7735026918962588E-3</v>
      </c>
      <c r="K12" s="256">
        <f>J12^2</f>
        <v>3.3333333333333348E-5</v>
      </c>
      <c r="L12" s="258">
        <f>K12^2/G12</f>
        <v>2.2222222222222241E-11</v>
      </c>
      <c r="M12" s="249"/>
      <c r="N12" t="s">
        <v>274</v>
      </c>
      <c r="O12" s="254"/>
      <c r="P12" s="254"/>
      <c r="Q12" s="254"/>
      <c r="R12" s="254"/>
      <c r="S12" s="328"/>
      <c r="T12" s="320" t="s">
        <v>251</v>
      </c>
      <c r="U12" s="321" t="s">
        <v>374</v>
      </c>
      <c r="V12" s="322" t="s">
        <v>273</v>
      </c>
      <c r="W12" s="325">
        <f>0.5*V5</f>
        <v>5.0000000000000001E-3</v>
      </c>
      <c r="X12" s="323">
        <f>SQRT(3)</f>
        <v>1.7320508075688772</v>
      </c>
      <c r="Y12" s="324">
        <v>50</v>
      </c>
      <c r="Z12" s="323">
        <f t="shared" si="2"/>
        <v>2.886751345948129E-3</v>
      </c>
      <c r="AA12" s="329">
        <v>1</v>
      </c>
      <c r="AB12" s="325">
        <f t="shared" si="3"/>
        <v>2.886751345948129E-3</v>
      </c>
      <c r="AC12" s="325">
        <f t="shared" si="0"/>
        <v>8.3333333333333337E-6</v>
      </c>
      <c r="AD12" s="326">
        <f t="shared" si="1"/>
        <v>1.3888888888888891E-12</v>
      </c>
    </row>
    <row r="13" spans="1:30" ht="15" customHeight="1" x14ac:dyDescent="0.3">
      <c r="A13" s="250"/>
      <c r="B13" s="255" t="s">
        <v>251</v>
      </c>
      <c r="C13" s="247" t="s">
        <v>41</v>
      </c>
      <c r="D13" s="255" t="s">
        <v>273</v>
      </c>
      <c r="E13" s="256">
        <f>0.5*D5</f>
        <v>0.05</v>
      </c>
      <c r="F13" s="256">
        <f>SQRT(3)</f>
        <v>1.7320508075688772</v>
      </c>
      <c r="G13" s="255">
        <v>50</v>
      </c>
      <c r="H13" s="256">
        <f>E13/F13</f>
        <v>2.8867513459481291E-2</v>
      </c>
      <c r="I13" s="261">
        <v>1</v>
      </c>
      <c r="J13" s="256">
        <f>H13*I13</f>
        <v>2.8867513459481291E-2</v>
      </c>
      <c r="K13" s="256">
        <f>J13^2</f>
        <v>8.333333333333335E-4</v>
      </c>
      <c r="L13" s="258">
        <f>K13^2/G13</f>
        <v>1.3888888888888894E-8</v>
      </c>
      <c r="M13" s="249"/>
      <c r="N13" t="s">
        <v>275</v>
      </c>
      <c r="O13" s="254"/>
      <c r="P13" s="254"/>
      <c r="Q13" s="254"/>
      <c r="R13" s="254"/>
      <c r="S13" s="328"/>
      <c r="T13" s="320" t="s">
        <v>376</v>
      </c>
      <c r="U13" s="321" t="s">
        <v>374</v>
      </c>
      <c r="V13" s="330" t="s">
        <v>273</v>
      </c>
      <c r="W13" s="331">
        <v>6.9300000000000004E-3</v>
      </c>
      <c r="X13" s="323">
        <f>SQRT(3)</f>
        <v>1.7320508075688772</v>
      </c>
      <c r="Y13" s="324">
        <v>50</v>
      </c>
      <c r="Z13" s="323">
        <f t="shared" si="2"/>
        <v>4.0010373654841072E-3</v>
      </c>
      <c r="AA13" s="329">
        <v>1</v>
      </c>
      <c r="AB13" s="325">
        <f t="shared" si="3"/>
        <v>4.0010373654841072E-3</v>
      </c>
      <c r="AC13" s="325">
        <f t="shared" si="0"/>
        <v>1.6008300000000004E-5</v>
      </c>
      <c r="AD13" s="326">
        <f t="shared" si="1"/>
        <v>5.1253133778000024E-12</v>
      </c>
    </row>
    <row r="14" spans="1:30" ht="15" customHeight="1" x14ac:dyDescent="0.3">
      <c r="A14" s="250"/>
      <c r="B14" s="255" t="s">
        <v>276</v>
      </c>
      <c r="C14" s="262"/>
      <c r="D14" s="262"/>
      <c r="E14" s="262"/>
      <c r="F14" s="262"/>
      <c r="G14" s="262"/>
      <c r="H14" s="262"/>
      <c r="I14" s="263"/>
      <c r="J14" s="264"/>
      <c r="K14" s="256">
        <f>SUM(K10:K13)</f>
        <v>2.3017777777776518E-3</v>
      </c>
      <c r="L14" s="258">
        <f>SUM(L10:L13)</f>
        <v>6.3294466172825449E-7</v>
      </c>
      <c r="M14" s="249"/>
      <c r="N14" t="s">
        <v>277</v>
      </c>
      <c r="O14" s="254"/>
      <c r="P14" s="254"/>
      <c r="Q14" s="254"/>
      <c r="S14" s="328"/>
      <c r="T14" s="320" t="s">
        <v>377</v>
      </c>
      <c r="U14" s="321" t="s">
        <v>374</v>
      </c>
      <c r="V14" s="330" t="s">
        <v>375</v>
      </c>
      <c r="W14" s="331">
        <v>3.0929999999999999E-2</v>
      </c>
      <c r="X14" s="323">
        <v>1</v>
      </c>
      <c r="Y14" s="324">
        <v>50</v>
      </c>
      <c r="Z14" s="323">
        <f t="shared" si="2"/>
        <v>3.0929999999999999E-2</v>
      </c>
      <c r="AA14" s="329">
        <v>1</v>
      </c>
      <c r="AB14" s="325">
        <f t="shared" si="3"/>
        <v>3.0929999999999999E-2</v>
      </c>
      <c r="AC14" s="325">
        <f t="shared" si="0"/>
        <v>9.5666489999999996E-4</v>
      </c>
      <c r="AD14" s="326">
        <f t="shared" si="1"/>
        <v>1.8304154617840197E-8</v>
      </c>
    </row>
    <row r="15" spans="1:30" ht="15" customHeight="1" x14ac:dyDescent="0.3">
      <c r="A15" s="250"/>
      <c r="B15" s="255" t="s">
        <v>278</v>
      </c>
      <c r="C15" s="262"/>
      <c r="D15" s="262"/>
      <c r="E15" s="262"/>
      <c r="F15" s="262"/>
      <c r="G15" s="262"/>
      <c r="H15" s="262"/>
      <c r="I15" s="263"/>
      <c r="J15" s="264"/>
      <c r="K15" s="256">
        <f>SQRT(K14)</f>
        <v>4.7976846267524208E-2</v>
      </c>
      <c r="L15" s="258"/>
      <c r="M15" s="249"/>
      <c r="O15" s="254"/>
      <c r="P15" s="254"/>
      <c r="Q15" s="254"/>
      <c r="S15" s="313"/>
      <c r="T15" s="320" t="s">
        <v>276</v>
      </c>
      <c r="U15" s="332"/>
      <c r="V15" s="332"/>
      <c r="W15" s="333"/>
      <c r="X15" s="333"/>
      <c r="Y15" s="333"/>
      <c r="Z15" s="333"/>
      <c r="AA15" s="333"/>
      <c r="AB15" s="334"/>
      <c r="AC15" s="323">
        <f>SUM(AC9:AC14)</f>
        <v>4.5244355351197422E-3</v>
      </c>
      <c r="AD15" s="326">
        <f>SUM(AD9:AD14)</f>
        <v>2.4124906502077038E-7</v>
      </c>
    </row>
    <row r="16" spans="1:30" x14ac:dyDescent="0.3">
      <c r="A16" s="250"/>
      <c r="B16" s="255" t="s">
        <v>279</v>
      </c>
      <c r="C16" s="262"/>
      <c r="D16" s="262"/>
      <c r="E16" s="262"/>
      <c r="F16" s="262"/>
      <c r="G16" s="262"/>
      <c r="H16" s="262"/>
      <c r="I16" s="263"/>
      <c r="J16" s="264"/>
      <c r="K16" s="256">
        <f>K15^4/L14</f>
        <v>8.3706858729234686</v>
      </c>
      <c r="L16" s="258"/>
      <c r="M16" s="249"/>
      <c r="O16" s="254"/>
      <c r="P16" s="254"/>
      <c r="Q16" s="254"/>
      <c r="S16" s="313"/>
      <c r="T16" s="320" t="s">
        <v>278</v>
      </c>
      <c r="U16" s="332"/>
      <c r="V16" s="332"/>
      <c r="W16" s="333"/>
      <c r="X16" s="333"/>
      <c r="Y16" s="333"/>
      <c r="Z16" s="333"/>
      <c r="AA16" s="333"/>
      <c r="AB16" s="334"/>
      <c r="AC16" s="323">
        <f>SQRT(AC15)</f>
        <v>6.7263924470103154E-2</v>
      </c>
      <c r="AD16" s="331"/>
    </row>
    <row r="17" spans="1:30" x14ac:dyDescent="0.3">
      <c r="A17" s="250"/>
      <c r="B17" s="255" t="s">
        <v>280</v>
      </c>
      <c r="C17" s="262"/>
      <c r="D17" s="262"/>
      <c r="E17" s="262"/>
      <c r="F17" s="262"/>
      <c r="G17" s="262"/>
      <c r="H17" s="262"/>
      <c r="I17" s="263"/>
      <c r="J17" s="264"/>
      <c r="K17" s="256">
        <f>TINV(0.05,K16)</f>
        <v>2.3060041352041671</v>
      </c>
      <c r="L17" s="258"/>
      <c r="M17" s="249"/>
      <c r="O17" s="254"/>
      <c r="P17" s="254"/>
      <c r="Q17" s="254"/>
      <c r="S17" s="313"/>
      <c r="T17" s="320" t="s">
        <v>279</v>
      </c>
      <c r="U17" s="332"/>
      <c r="V17" s="332"/>
      <c r="W17" s="333"/>
      <c r="X17" s="333"/>
      <c r="Y17" s="333"/>
      <c r="Z17" s="333"/>
      <c r="AA17" s="333"/>
      <c r="AB17" s="334"/>
      <c r="AC17" s="323">
        <f>AC16^4/AD15</f>
        <v>84.852212420768794</v>
      </c>
      <c r="AD17" s="331"/>
    </row>
    <row r="18" spans="1:30" x14ac:dyDescent="0.3">
      <c r="A18" s="250"/>
      <c r="B18" s="255" t="s">
        <v>281</v>
      </c>
      <c r="C18" s="262"/>
      <c r="D18" s="262"/>
      <c r="E18" s="262"/>
      <c r="F18" s="262"/>
      <c r="G18" s="262"/>
      <c r="H18" s="262"/>
      <c r="I18" s="263"/>
      <c r="J18" s="264"/>
      <c r="K18" s="258">
        <f>K17*K15</f>
        <v>0.11063480588696543</v>
      </c>
      <c r="L18" s="258" t="s">
        <v>41</v>
      </c>
      <c r="M18" s="249"/>
      <c r="S18" s="313"/>
      <c r="T18" s="320" t="s">
        <v>280</v>
      </c>
      <c r="U18" s="332"/>
      <c r="V18" s="332"/>
      <c r="W18" s="333"/>
      <c r="X18" s="333"/>
      <c r="Y18" s="333"/>
      <c r="Z18" s="333"/>
      <c r="AA18" s="333"/>
      <c r="AB18" s="334"/>
      <c r="AC18" s="329">
        <f>TINV(0.05,AC17)</f>
        <v>1.9886096669757098</v>
      </c>
      <c r="AD18" s="331"/>
    </row>
    <row r="19" spans="1:30" x14ac:dyDescent="0.3">
      <c r="A19" s="250"/>
      <c r="B19" s="248"/>
      <c r="C19" s="248"/>
      <c r="D19" s="248"/>
      <c r="E19" s="248"/>
      <c r="F19" s="248"/>
      <c r="G19" s="248"/>
      <c r="H19" s="248"/>
      <c r="I19" s="248"/>
      <c r="J19" s="265"/>
      <c r="K19" s="248"/>
      <c r="L19" s="248"/>
      <c r="M19" s="249"/>
      <c r="S19" s="313"/>
      <c r="T19" s="320" t="s">
        <v>281</v>
      </c>
      <c r="U19" s="332"/>
      <c r="V19" s="332"/>
      <c r="W19" s="333"/>
      <c r="X19" s="333"/>
      <c r="Y19" s="333"/>
      <c r="Z19" s="333"/>
      <c r="AA19" s="333"/>
      <c r="AB19" s="334"/>
      <c r="AC19" s="331">
        <f>AC18*AC16</f>
        <v>0.13376169043997113</v>
      </c>
      <c r="AD19" s="331" t="str">
        <f>W5</f>
        <v>detik</v>
      </c>
    </row>
    <row r="20" spans="1:30" x14ac:dyDescent="0.3">
      <c r="A20" s="250">
        <v>2</v>
      </c>
      <c r="B20" s="235" t="s">
        <v>253</v>
      </c>
      <c r="C20" s="235"/>
      <c r="D20" s="251">
        <v>134</v>
      </c>
      <c r="E20" s="235"/>
      <c r="F20" s="248"/>
      <c r="G20" s="248"/>
      <c r="H20" s="248"/>
      <c r="I20" s="248"/>
      <c r="J20" s="248"/>
      <c r="K20" s="248"/>
      <c r="L20" s="248"/>
    </row>
    <row r="21" spans="1:30" x14ac:dyDescent="0.3">
      <c r="A21" s="250"/>
      <c r="B21" s="252" t="s">
        <v>254</v>
      </c>
      <c r="C21" s="252" t="s">
        <v>255</v>
      </c>
      <c r="D21" s="252" t="s">
        <v>256</v>
      </c>
      <c r="E21" s="252" t="s">
        <v>257</v>
      </c>
      <c r="F21" s="252" t="s">
        <v>258</v>
      </c>
      <c r="G21" s="252" t="s">
        <v>259</v>
      </c>
      <c r="H21" s="252" t="s">
        <v>260</v>
      </c>
      <c r="I21" s="252" t="s">
        <v>261</v>
      </c>
      <c r="J21" s="252" t="s">
        <v>262</v>
      </c>
      <c r="K21" s="252" t="s">
        <v>263</v>
      </c>
      <c r="L21" s="252" t="s">
        <v>264</v>
      </c>
    </row>
    <row r="22" spans="1:30" x14ac:dyDescent="0.3">
      <c r="A22" s="250"/>
      <c r="B22" s="255" t="s">
        <v>266</v>
      </c>
      <c r="C22" s="247" t="s">
        <v>41</v>
      </c>
      <c r="D22" s="255" t="s">
        <v>267</v>
      </c>
      <c r="E22" s="256">
        <f>'[1]PENGOLAHAN DATA'!X48</f>
        <v>0</v>
      </c>
      <c r="F22" s="256">
        <f>SQRT(D4)</f>
        <v>1.7320508075688772</v>
      </c>
      <c r="G22" s="255">
        <f>D4-1</f>
        <v>2</v>
      </c>
      <c r="H22" s="256">
        <f>E22/F22</f>
        <v>0</v>
      </c>
      <c r="I22" s="257">
        <v>1</v>
      </c>
      <c r="J22" s="256">
        <f>H22*I22</f>
        <v>0</v>
      </c>
      <c r="K22" s="256">
        <f>J22^2</f>
        <v>0</v>
      </c>
      <c r="L22" s="258">
        <f>K22^2/G22</f>
        <v>0</v>
      </c>
    </row>
    <row r="23" spans="1:30" x14ac:dyDescent="0.3">
      <c r="A23" s="250"/>
      <c r="B23" s="255" t="s">
        <v>270</v>
      </c>
      <c r="C23" s="247" t="s">
        <v>41</v>
      </c>
      <c r="D23" s="255" t="s">
        <v>267</v>
      </c>
      <c r="E23" s="274">
        <f>'SERT. DATA LOGGER'!H15</f>
        <v>3.5999999999999997E-2</v>
      </c>
      <c r="F23" s="256">
        <v>2</v>
      </c>
      <c r="G23" s="255">
        <v>60</v>
      </c>
      <c r="H23" s="256">
        <f>E23/F23</f>
        <v>1.7999999999999999E-2</v>
      </c>
      <c r="I23" s="257">
        <v>1</v>
      </c>
      <c r="J23" s="256">
        <f>H23*I23</f>
        <v>1.7999999999999999E-2</v>
      </c>
      <c r="K23" s="256">
        <f>J23^2</f>
        <v>3.2399999999999996E-4</v>
      </c>
      <c r="L23" s="258">
        <f>K23^2/G23</f>
        <v>1.7495999999999996E-9</v>
      </c>
    </row>
    <row r="24" spans="1:30" x14ac:dyDescent="0.3">
      <c r="A24" s="250"/>
      <c r="B24" s="255" t="s">
        <v>272</v>
      </c>
      <c r="C24" s="247" t="s">
        <v>41</v>
      </c>
      <c r="D24" s="255" t="s">
        <v>273</v>
      </c>
      <c r="E24" s="256">
        <f>10%*0.1</f>
        <v>1.0000000000000002E-2</v>
      </c>
      <c r="F24" s="256">
        <f>SQRT(3)</f>
        <v>1.7320508075688772</v>
      </c>
      <c r="G24" s="255">
        <v>50</v>
      </c>
      <c r="H24" s="256">
        <f>E24/F24</f>
        <v>5.7735026918962588E-3</v>
      </c>
      <c r="I24" s="257">
        <v>1</v>
      </c>
      <c r="J24" s="256">
        <f>H24*I24</f>
        <v>5.7735026918962588E-3</v>
      </c>
      <c r="K24" s="256">
        <f>J24^2</f>
        <v>3.3333333333333348E-5</v>
      </c>
      <c r="L24" s="258">
        <f>K24^2/G24</f>
        <v>2.2222222222222241E-11</v>
      </c>
    </row>
    <row r="25" spans="1:30" x14ac:dyDescent="0.3">
      <c r="A25" s="250"/>
      <c r="B25" s="255" t="s">
        <v>251</v>
      </c>
      <c r="C25" s="247" t="s">
        <v>41</v>
      </c>
      <c r="D25" s="255" t="s">
        <v>273</v>
      </c>
      <c r="E25" s="256">
        <f>0.5*D5</f>
        <v>0.05</v>
      </c>
      <c r="F25" s="256">
        <f>SQRT(3)</f>
        <v>1.7320508075688772</v>
      </c>
      <c r="G25" s="255">
        <v>50</v>
      </c>
      <c r="H25" s="256">
        <f>E25/F25</f>
        <v>2.8867513459481291E-2</v>
      </c>
      <c r="I25" s="261">
        <v>1</v>
      </c>
      <c r="J25" s="256">
        <f>H25*I25</f>
        <v>2.8867513459481291E-2</v>
      </c>
      <c r="K25" s="256">
        <f>J25^2</f>
        <v>8.333333333333335E-4</v>
      </c>
      <c r="L25" s="258">
        <f>K25^2/G25</f>
        <v>1.3888888888888894E-8</v>
      </c>
    </row>
    <row r="26" spans="1:30" x14ac:dyDescent="0.3">
      <c r="A26" s="250"/>
      <c r="B26" s="255" t="s">
        <v>276</v>
      </c>
      <c r="C26" s="262"/>
      <c r="D26" s="262"/>
      <c r="E26" s="262"/>
      <c r="F26" s="262"/>
      <c r="G26" s="262"/>
      <c r="H26" s="262"/>
      <c r="I26" s="263"/>
      <c r="J26" s="264"/>
      <c r="K26" s="256">
        <f>SUM(K22:K25)</f>
        <v>1.1906666666666667E-3</v>
      </c>
      <c r="L26" s="258">
        <f>SUM(L22:L25)</f>
        <v>1.5660711111111116E-8</v>
      </c>
    </row>
    <row r="27" spans="1:30" x14ac:dyDescent="0.3">
      <c r="A27" s="250"/>
      <c r="B27" s="255" t="s">
        <v>278</v>
      </c>
      <c r="C27" s="262"/>
      <c r="D27" s="262"/>
      <c r="E27" s="262"/>
      <c r="F27" s="262"/>
      <c r="G27" s="262"/>
      <c r="H27" s="262"/>
      <c r="I27" s="263"/>
      <c r="J27" s="264"/>
      <c r="K27" s="256">
        <f>SQRT(K26)</f>
        <v>3.4506038118953426E-2</v>
      </c>
      <c r="L27" s="258"/>
    </row>
    <row r="28" spans="1:30" x14ac:dyDescent="0.3">
      <c r="A28" s="250"/>
      <c r="B28" s="255" t="s">
        <v>279</v>
      </c>
      <c r="C28" s="262"/>
      <c r="D28" s="262"/>
      <c r="E28" s="262"/>
      <c r="F28" s="262"/>
      <c r="G28" s="262"/>
      <c r="H28" s="262"/>
      <c r="I28" s="263"/>
      <c r="J28" s="264"/>
      <c r="K28" s="256">
        <f>K27^4/L26</f>
        <v>90.52507903713753</v>
      </c>
      <c r="L28" s="258"/>
    </row>
    <row r="29" spans="1:30" x14ac:dyDescent="0.3">
      <c r="A29" s="250"/>
      <c r="B29" s="255" t="s">
        <v>280</v>
      </c>
      <c r="C29" s="262"/>
      <c r="D29" s="262"/>
      <c r="E29" s="262"/>
      <c r="F29" s="262"/>
      <c r="G29" s="262"/>
      <c r="H29" s="262"/>
      <c r="I29" s="263"/>
      <c r="J29" s="264"/>
      <c r="K29" s="256">
        <f>TINV(0.05,K28)</f>
        <v>1.986674540703772</v>
      </c>
      <c r="L29" s="258"/>
    </row>
    <row r="30" spans="1:30" x14ac:dyDescent="0.3">
      <c r="A30" s="250"/>
      <c r="B30" s="255" t="s">
        <v>281</v>
      </c>
      <c r="C30" s="262"/>
      <c r="D30" s="262"/>
      <c r="E30" s="262"/>
      <c r="F30" s="262"/>
      <c r="G30" s="262"/>
      <c r="H30" s="262"/>
      <c r="I30" s="263"/>
      <c r="J30" s="264"/>
      <c r="K30" s="258">
        <f>K29*K27</f>
        <v>6.8552267431478645E-2</v>
      </c>
      <c r="L30" s="258" t="s">
        <v>41</v>
      </c>
    </row>
    <row r="33" spans="1:14" x14ac:dyDescent="0.3">
      <c r="A33" s="335"/>
      <c r="B33" s="336"/>
      <c r="C33" s="337"/>
      <c r="D33" s="338"/>
      <c r="E33" s="339"/>
      <c r="F33" s="340"/>
      <c r="G33" s="340"/>
      <c r="H33" s="340"/>
      <c r="I33" s="340"/>
      <c r="J33" s="341"/>
      <c r="K33" s="341"/>
      <c r="L33" s="342"/>
      <c r="M33" s="343"/>
      <c r="N33" s="335"/>
    </row>
    <row r="34" spans="1:14" x14ac:dyDescent="0.3">
      <c r="A34" s="335"/>
      <c r="B34" s="337"/>
      <c r="C34" s="337"/>
      <c r="D34" s="344"/>
      <c r="E34" s="337"/>
      <c r="F34" s="345"/>
      <c r="G34" s="345"/>
      <c r="H34" s="345"/>
      <c r="I34" s="345"/>
      <c r="J34" s="345"/>
      <c r="K34" s="345"/>
      <c r="L34" s="345"/>
      <c r="M34" s="335"/>
      <c r="N34" s="335"/>
    </row>
    <row r="35" spans="1:14" x14ac:dyDescent="0.3">
      <c r="A35" s="335"/>
      <c r="B35" s="337"/>
      <c r="C35" s="337"/>
      <c r="D35" s="344"/>
      <c r="E35" s="337"/>
      <c r="F35" s="345"/>
      <c r="G35" s="345"/>
      <c r="H35" s="345"/>
      <c r="I35" s="345"/>
      <c r="J35" s="345"/>
      <c r="K35" s="345"/>
      <c r="L35" s="345"/>
      <c r="M35" s="335"/>
      <c r="N35" s="335"/>
    </row>
    <row r="36" spans="1:14" x14ac:dyDescent="0.3">
      <c r="A36" s="335"/>
      <c r="B36" s="659"/>
      <c r="C36" s="659"/>
      <c r="D36" s="659"/>
      <c r="E36" s="659"/>
      <c r="F36" s="659"/>
      <c r="G36" s="659"/>
      <c r="H36" s="659"/>
      <c r="I36" s="659"/>
      <c r="J36" s="659"/>
      <c r="K36" s="659"/>
      <c r="L36" s="659"/>
      <c r="M36" s="335"/>
      <c r="N36" s="335"/>
    </row>
    <row r="37" spans="1:14" x14ac:dyDescent="0.3">
      <c r="A37" s="346"/>
      <c r="B37" s="337"/>
      <c r="C37" s="337"/>
      <c r="D37" s="347"/>
      <c r="E37" s="337"/>
      <c r="F37" s="345"/>
      <c r="G37" s="345"/>
      <c r="H37" s="345"/>
      <c r="I37" s="345"/>
      <c r="J37" s="345"/>
      <c r="K37" s="345"/>
      <c r="L37" s="345"/>
      <c r="M37" s="335"/>
      <c r="N37" s="335"/>
    </row>
    <row r="38" spans="1:14" x14ac:dyDescent="0.3">
      <c r="A38" s="346"/>
      <c r="B38" s="338"/>
      <c r="C38" s="338"/>
      <c r="D38" s="338"/>
      <c r="E38" s="338"/>
      <c r="F38" s="338"/>
      <c r="G38" s="338"/>
      <c r="H38" s="338"/>
      <c r="I38" s="338"/>
      <c r="J38" s="338"/>
      <c r="K38" s="338"/>
      <c r="L38" s="338"/>
      <c r="M38" s="335"/>
      <c r="N38" s="335"/>
    </row>
    <row r="39" spans="1:14" x14ac:dyDescent="0.3">
      <c r="A39" s="346"/>
      <c r="B39" s="345"/>
      <c r="C39" s="348"/>
      <c r="D39" s="345"/>
      <c r="E39" s="349"/>
      <c r="F39" s="349"/>
      <c r="G39" s="345"/>
      <c r="H39" s="349"/>
      <c r="I39" s="350"/>
      <c r="J39" s="349"/>
      <c r="K39" s="349"/>
      <c r="L39" s="349"/>
      <c r="M39" s="349"/>
      <c r="N39" s="335"/>
    </row>
    <row r="40" spans="1:14" x14ac:dyDescent="0.3">
      <c r="A40" s="346"/>
      <c r="B40" s="345"/>
      <c r="C40" s="348"/>
      <c r="D40" s="345"/>
      <c r="E40" s="351"/>
      <c r="F40" s="349"/>
      <c r="G40" s="345"/>
      <c r="H40" s="349"/>
      <c r="I40" s="350"/>
      <c r="J40" s="349"/>
      <c r="K40" s="349"/>
      <c r="L40" s="349"/>
      <c r="M40" s="335"/>
      <c r="N40" s="335"/>
    </row>
    <row r="41" spans="1:14" x14ac:dyDescent="0.3">
      <c r="A41" s="346"/>
      <c r="B41" s="345"/>
      <c r="C41" s="348"/>
      <c r="D41" s="345"/>
      <c r="E41" s="349"/>
      <c r="F41" s="349"/>
      <c r="G41" s="345"/>
      <c r="H41" s="349"/>
      <c r="I41" s="350"/>
      <c r="J41" s="349"/>
      <c r="K41" s="349"/>
      <c r="L41" s="349"/>
      <c r="M41" s="335"/>
      <c r="N41" s="335"/>
    </row>
    <row r="42" spans="1:14" x14ac:dyDescent="0.3">
      <c r="A42" s="346"/>
      <c r="B42" s="345"/>
      <c r="C42" s="348"/>
      <c r="D42" s="345"/>
      <c r="E42" s="349"/>
      <c r="F42" s="349"/>
      <c r="G42" s="345"/>
      <c r="H42" s="349"/>
      <c r="I42" s="352"/>
      <c r="J42" s="349"/>
      <c r="K42" s="349"/>
      <c r="L42" s="349"/>
      <c r="M42" s="335"/>
      <c r="N42" s="335"/>
    </row>
    <row r="43" spans="1:14" x14ac:dyDescent="0.3">
      <c r="A43" s="346"/>
      <c r="B43" s="345"/>
      <c r="C43" s="345"/>
      <c r="D43" s="345"/>
      <c r="E43" s="345"/>
      <c r="F43" s="345"/>
      <c r="G43" s="345"/>
      <c r="H43" s="345"/>
      <c r="I43" s="350"/>
      <c r="J43" s="349"/>
      <c r="K43" s="349"/>
      <c r="L43" s="349"/>
      <c r="M43" s="335"/>
      <c r="N43" s="335"/>
    </row>
    <row r="44" spans="1:14" x14ac:dyDescent="0.3">
      <c r="A44" s="346"/>
      <c r="B44" s="345"/>
      <c r="C44" s="345"/>
      <c r="D44" s="345"/>
      <c r="E44" s="345"/>
      <c r="F44" s="345"/>
      <c r="G44" s="345"/>
      <c r="H44" s="345"/>
      <c r="I44" s="350"/>
      <c r="J44" s="349"/>
      <c r="K44" s="349"/>
      <c r="L44" s="349"/>
      <c r="M44" s="335"/>
      <c r="N44" s="335"/>
    </row>
    <row r="45" spans="1:14" x14ac:dyDescent="0.3">
      <c r="A45" s="346"/>
      <c r="B45" s="345"/>
      <c r="C45" s="345"/>
      <c r="D45" s="345"/>
      <c r="E45" s="345"/>
      <c r="F45" s="345"/>
      <c r="G45" s="345"/>
      <c r="H45" s="345"/>
      <c r="I45" s="350"/>
      <c r="J45" s="349"/>
      <c r="K45" s="349"/>
      <c r="L45" s="349"/>
      <c r="M45" s="335"/>
      <c r="N45" s="335"/>
    </row>
    <row r="46" spans="1:14" x14ac:dyDescent="0.3">
      <c r="A46" s="346"/>
      <c r="B46" s="345"/>
      <c r="C46" s="345"/>
      <c r="D46" s="345"/>
      <c r="E46" s="345"/>
      <c r="F46" s="345"/>
      <c r="G46" s="345"/>
      <c r="H46" s="345"/>
      <c r="I46" s="350"/>
      <c r="J46" s="349"/>
      <c r="K46" s="349"/>
      <c r="L46" s="349"/>
      <c r="M46" s="335"/>
      <c r="N46" s="335"/>
    </row>
    <row r="47" spans="1:14" x14ac:dyDescent="0.3">
      <c r="A47" s="346"/>
      <c r="B47" s="345"/>
      <c r="C47" s="345"/>
      <c r="D47" s="345"/>
      <c r="E47" s="345"/>
      <c r="F47" s="345"/>
      <c r="G47" s="345"/>
      <c r="H47" s="345"/>
      <c r="I47" s="350"/>
      <c r="J47" s="349"/>
      <c r="K47" s="349"/>
      <c r="L47" s="349"/>
      <c r="M47" s="335"/>
      <c r="N47" s="335"/>
    </row>
    <row r="48" spans="1:14" x14ac:dyDescent="0.3">
      <c r="A48" s="346"/>
      <c r="B48" s="345"/>
      <c r="C48" s="345"/>
      <c r="D48" s="345"/>
      <c r="E48" s="345"/>
      <c r="F48" s="345"/>
      <c r="G48" s="345"/>
      <c r="H48" s="345"/>
      <c r="I48" s="345"/>
      <c r="J48" s="350"/>
      <c r="K48" s="345"/>
      <c r="L48" s="345"/>
      <c r="M48" s="335"/>
      <c r="N48" s="335"/>
    </row>
    <row r="49" spans="1:14" x14ac:dyDescent="0.3">
      <c r="A49" s="346"/>
      <c r="B49" s="337"/>
      <c r="C49" s="337"/>
      <c r="D49" s="347"/>
      <c r="E49" s="337"/>
      <c r="F49" s="345"/>
      <c r="G49" s="345"/>
      <c r="H49" s="345"/>
      <c r="I49" s="345"/>
      <c r="J49" s="345"/>
      <c r="K49" s="345"/>
      <c r="L49" s="345"/>
      <c r="M49" s="335"/>
      <c r="N49" s="335"/>
    </row>
    <row r="50" spans="1:14" x14ac:dyDescent="0.3">
      <c r="A50" s="346"/>
      <c r="B50" s="338"/>
      <c r="C50" s="338"/>
      <c r="D50" s="338"/>
      <c r="E50" s="338"/>
      <c r="F50" s="338"/>
      <c r="G50" s="338"/>
      <c r="H50" s="338"/>
      <c r="I50" s="338"/>
      <c r="J50" s="338"/>
      <c r="K50" s="338"/>
      <c r="L50" s="338"/>
      <c r="M50" s="335"/>
      <c r="N50" s="335"/>
    </row>
    <row r="51" spans="1:14" x14ac:dyDescent="0.3">
      <c r="A51" s="346"/>
      <c r="B51" s="345"/>
      <c r="C51" s="348"/>
      <c r="D51" s="345"/>
      <c r="E51" s="349"/>
      <c r="F51" s="349"/>
      <c r="G51" s="345"/>
      <c r="H51" s="349"/>
      <c r="I51" s="350"/>
      <c r="J51" s="349"/>
      <c r="K51" s="349"/>
      <c r="L51" s="349"/>
      <c r="M51" s="335"/>
      <c r="N51" s="335"/>
    </row>
    <row r="52" spans="1:14" x14ac:dyDescent="0.3">
      <c r="A52" s="346"/>
      <c r="B52" s="345"/>
      <c r="C52" s="348"/>
      <c r="D52" s="345"/>
      <c r="E52" s="351"/>
      <c r="F52" s="349"/>
      <c r="G52" s="345"/>
      <c r="H52" s="349"/>
      <c r="I52" s="350"/>
      <c r="J52" s="349"/>
      <c r="K52" s="349"/>
      <c r="L52" s="349"/>
      <c r="M52" s="335"/>
      <c r="N52" s="335"/>
    </row>
    <row r="53" spans="1:14" x14ac:dyDescent="0.3">
      <c r="A53" s="346"/>
      <c r="B53" s="345"/>
      <c r="C53" s="348"/>
      <c r="D53" s="345"/>
      <c r="E53" s="349"/>
      <c r="F53" s="349"/>
      <c r="G53" s="345"/>
      <c r="H53" s="349"/>
      <c r="I53" s="350"/>
      <c r="J53" s="349"/>
      <c r="K53" s="349"/>
      <c r="L53" s="349"/>
      <c r="M53" s="335"/>
      <c r="N53" s="335"/>
    </row>
    <row r="54" spans="1:14" x14ac:dyDescent="0.3">
      <c r="A54" s="346"/>
      <c r="B54" s="345"/>
      <c r="C54" s="348"/>
      <c r="D54" s="345"/>
      <c r="E54" s="349"/>
      <c r="F54" s="349"/>
      <c r="G54" s="345"/>
      <c r="H54" s="349"/>
      <c r="I54" s="352"/>
      <c r="J54" s="349"/>
      <c r="K54" s="349"/>
      <c r="L54" s="349"/>
      <c r="M54" s="335"/>
      <c r="N54" s="335"/>
    </row>
    <row r="55" spans="1:14" x14ac:dyDescent="0.3">
      <c r="A55" s="346"/>
      <c r="B55" s="345"/>
      <c r="C55" s="345"/>
      <c r="D55" s="345"/>
      <c r="E55" s="345"/>
      <c r="F55" s="345"/>
      <c r="G55" s="345"/>
      <c r="H55" s="345"/>
      <c r="I55" s="350"/>
      <c r="J55" s="349"/>
      <c r="K55" s="349"/>
      <c r="L55" s="349"/>
      <c r="M55" s="335"/>
      <c r="N55" s="335"/>
    </row>
    <row r="56" spans="1:14" x14ac:dyDescent="0.3">
      <c r="A56" s="346"/>
      <c r="B56" s="345"/>
      <c r="C56" s="345"/>
      <c r="D56" s="345"/>
      <c r="E56" s="345"/>
      <c r="F56" s="345"/>
      <c r="G56" s="345"/>
      <c r="H56" s="345"/>
      <c r="I56" s="350"/>
      <c r="J56" s="349"/>
      <c r="K56" s="349"/>
      <c r="L56" s="349"/>
      <c r="M56" s="335"/>
      <c r="N56" s="335"/>
    </row>
    <row r="57" spans="1:14" x14ac:dyDescent="0.3">
      <c r="A57" s="346"/>
      <c r="B57" s="345"/>
      <c r="C57" s="345"/>
      <c r="D57" s="345"/>
      <c r="E57" s="345"/>
      <c r="F57" s="345"/>
      <c r="G57" s="345"/>
      <c r="H57" s="345"/>
      <c r="I57" s="350"/>
      <c r="J57" s="349"/>
      <c r="K57" s="349"/>
      <c r="L57" s="349"/>
      <c r="M57" s="335"/>
      <c r="N57" s="335"/>
    </row>
    <row r="58" spans="1:14" x14ac:dyDescent="0.3">
      <c r="A58" s="346"/>
      <c r="B58" s="345"/>
      <c r="C58" s="345"/>
      <c r="D58" s="345"/>
      <c r="E58" s="345"/>
      <c r="F58" s="345"/>
      <c r="G58" s="345"/>
      <c r="H58" s="345"/>
      <c r="I58" s="350"/>
      <c r="J58" s="349"/>
      <c r="K58" s="349"/>
      <c r="L58" s="349"/>
      <c r="M58" s="335"/>
      <c r="N58" s="335"/>
    </row>
    <row r="59" spans="1:14" x14ac:dyDescent="0.3">
      <c r="A59" s="346"/>
      <c r="B59" s="345"/>
      <c r="C59" s="345"/>
      <c r="D59" s="345"/>
      <c r="E59" s="345"/>
      <c r="F59" s="345"/>
      <c r="G59" s="345"/>
      <c r="H59" s="345"/>
      <c r="I59" s="350"/>
      <c r="J59" s="349"/>
      <c r="K59" s="349"/>
      <c r="L59" s="349"/>
      <c r="M59" s="335"/>
      <c r="N59" s="335"/>
    </row>
    <row r="60" spans="1:14" x14ac:dyDescent="0.3">
      <c r="A60" s="335"/>
      <c r="B60" s="335"/>
      <c r="C60" s="335"/>
      <c r="D60" s="335"/>
      <c r="E60" s="335"/>
      <c r="F60" s="335"/>
      <c r="G60" s="335"/>
      <c r="H60" s="335"/>
      <c r="I60" s="335"/>
      <c r="J60" s="335"/>
      <c r="K60" s="335"/>
      <c r="L60" s="335"/>
      <c r="M60" s="335"/>
      <c r="N60" s="335"/>
    </row>
  </sheetData>
  <mergeCells count="6">
    <mergeCell ref="A1:M1"/>
    <mergeCell ref="A2:M2"/>
    <mergeCell ref="B7:L7"/>
    <mergeCell ref="B36:L36"/>
    <mergeCell ref="S1:AD1"/>
    <mergeCell ref="S2:A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E3A6A-FBB6-4700-BEA6-717E539D56AF}">
  <sheetPr>
    <pageSetUpPr fitToPage="1"/>
  </sheetPr>
  <dimension ref="A1:AP80"/>
  <sheetViews>
    <sheetView tabSelected="1" view="pageBreakPreview" topLeftCell="A42" zoomScaleNormal="100" zoomScaleSheetLayoutView="100" workbookViewId="0">
      <selection activeCell="S52" sqref="S52"/>
    </sheetView>
  </sheetViews>
  <sheetFormatPr defaultColWidth="4.21875" defaultRowHeight="13.8" x14ac:dyDescent="0.3"/>
  <cols>
    <col min="1" max="1" width="4.21875" style="41"/>
    <col min="2" max="2" width="4.21875" style="75"/>
    <col min="3" max="6" width="4.21875" style="41"/>
    <col min="7" max="7" width="4.44140625" style="41" customWidth="1"/>
    <col min="8" max="8" width="5" style="41" bestFit="1" customWidth="1"/>
    <col min="9" max="9" width="5.44140625" style="41" customWidth="1"/>
    <col min="10" max="10" width="5.5546875" style="41" bestFit="1" customWidth="1"/>
    <col min="11" max="11" width="4.5546875" style="41" customWidth="1"/>
    <col min="12" max="12" width="5.44140625" style="41" customWidth="1"/>
    <col min="13" max="13" width="4.21875" style="41"/>
    <col min="14" max="14" width="4.77734375" style="41" customWidth="1"/>
    <col min="15" max="15" width="6.21875" style="41" bestFit="1" customWidth="1"/>
    <col min="16" max="19" width="4.21875" style="41"/>
    <col min="20" max="20" width="5.5546875" style="41" bestFit="1" customWidth="1"/>
    <col min="21" max="21" width="0.5546875" style="41" customWidth="1"/>
    <col min="22" max="22" width="4.44140625" style="41" customWidth="1"/>
    <col min="23" max="23" width="6" style="41" customWidth="1"/>
    <col min="24" max="24" width="6.21875" style="41" customWidth="1"/>
    <col min="25" max="25" width="7.21875" style="41" bestFit="1" customWidth="1"/>
    <col min="26" max="30" width="4.21875" style="41"/>
    <col min="31" max="31" width="0" style="41" hidden="1" customWidth="1"/>
    <col min="32" max="16384" width="4.21875" style="41"/>
  </cols>
  <sheetData>
    <row r="1" spans="1:29" s="27" customFormat="1" ht="15" customHeight="1" x14ac:dyDescent="0.3">
      <c r="A1" s="138">
        <v>1</v>
      </c>
      <c r="B1" s="139" t="s">
        <v>116</v>
      </c>
      <c r="C1" s="140"/>
      <c r="D1" s="140"/>
      <c r="E1" s="140"/>
      <c r="F1" s="140"/>
      <c r="G1" s="140"/>
      <c r="H1" s="140"/>
      <c r="I1" s="140"/>
      <c r="J1" s="140"/>
      <c r="K1" s="140"/>
      <c r="L1" s="140"/>
      <c r="M1" s="140"/>
      <c r="N1" s="140"/>
      <c r="O1" s="140"/>
      <c r="P1" s="140"/>
      <c r="Q1" s="140"/>
      <c r="R1" s="140"/>
      <c r="S1" s="140"/>
      <c r="T1" s="140"/>
      <c r="U1" s="140"/>
      <c r="V1" s="140"/>
      <c r="W1" s="140"/>
    </row>
    <row r="2" spans="1:29" s="27" customFormat="1" ht="15" customHeight="1" x14ac:dyDescent="0.3">
      <c r="A2" s="141"/>
      <c r="B2" s="675" t="s">
        <v>11</v>
      </c>
      <c r="C2" s="675"/>
      <c r="D2" s="675"/>
      <c r="E2" s="675"/>
      <c r="F2" s="675"/>
      <c r="G2" s="679" t="str">
        <f>'LEMBAR KERJA'!F8</f>
        <v>LOKAL</v>
      </c>
      <c r="H2" s="680"/>
      <c r="I2" s="680"/>
      <c r="J2" s="680"/>
      <c r="K2" s="680"/>
      <c r="L2" s="680"/>
      <c r="M2" s="680"/>
      <c r="N2" s="680"/>
      <c r="O2" s="675" t="s">
        <v>171</v>
      </c>
      <c r="P2" s="675"/>
      <c r="Q2" s="675"/>
      <c r="R2" s="675"/>
      <c r="S2" s="676"/>
      <c r="T2" s="677">
        <f>'LEMBAR KERJA'!F11</f>
        <v>0.1</v>
      </c>
      <c r="U2" s="678"/>
      <c r="V2" s="678"/>
      <c r="W2" s="148" t="s">
        <v>41</v>
      </c>
      <c r="X2" s="155"/>
    </row>
    <row r="3" spans="1:29" s="27" customFormat="1" ht="15" customHeight="1" x14ac:dyDescent="0.3">
      <c r="A3" s="141"/>
      <c r="B3" s="675" t="s">
        <v>15</v>
      </c>
      <c r="C3" s="675"/>
      <c r="D3" s="675"/>
      <c r="E3" s="675"/>
      <c r="F3" s="675"/>
      <c r="G3" s="679" t="str">
        <f>'LEMBAR KERJA'!F9</f>
        <v>YA28X6T/8</v>
      </c>
      <c r="H3" s="680"/>
      <c r="I3" s="680"/>
      <c r="J3" s="680"/>
      <c r="K3" s="680"/>
      <c r="L3" s="680"/>
      <c r="M3" s="680"/>
      <c r="N3" s="680"/>
      <c r="O3" s="675" t="s">
        <v>23</v>
      </c>
      <c r="P3" s="675"/>
      <c r="Q3" s="675"/>
      <c r="R3" s="675"/>
      <c r="S3" s="676"/>
      <c r="T3" s="142">
        <f>'LEMBAR KERJA'!F12</f>
        <v>0.1</v>
      </c>
      <c r="U3" s="681" t="s">
        <v>24</v>
      </c>
      <c r="V3" s="681"/>
      <c r="W3" s="148">
        <f>'LEMBAR KERJA'!K12</f>
        <v>134</v>
      </c>
      <c r="X3" s="293" t="s">
        <v>41</v>
      </c>
      <c r="Y3" s="76"/>
      <c r="Z3" s="41"/>
      <c r="AA3" s="41"/>
    </row>
    <row r="4" spans="1:29" s="27" customFormat="1" ht="15" customHeight="1" x14ac:dyDescent="0.3">
      <c r="A4" s="141"/>
      <c r="B4" s="675" t="s">
        <v>18</v>
      </c>
      <c r="C4" s="675"/>
      <c r="D4" s="675"/>
      <c r="E4" s="675"/>
      <c r="F4" s="675"/>
      <c r="G4" s="679" t="str">
        <f>'LEMBAR KERJA'!F10</f>
        <v>A250705-510</v>
      </c>
      <c r="H4" s="680"/>
      <c r="I4" s="680"/>
      <c r="J4" s="680"/>
      <c r="K4" s="680"/>
      <c r="L4" s="680"/>
      <c r="M4" s="680"/>
      <c r="N4" s="680"/>
      <c r="Y4" s="76"/>
      <c r="Z4" s="41"/>
      <c r="AA4" s="41"/>
      <c r="AC4" s="41"/>
    </row>
    <row r="5" spans="1:29" s="27" customFormat="1" ht="15" customHeight="1" x14ac:dyDescent="0.3">
      <c r="A5" s="141"/>
      <c r="B5" s="151"/>
      <c r="C5" s="151"/>
      <c r="D5" s="151"/>
      <c r="E5" s="151"/>
      <c r="F5" s="151"/>
      <c r="G5" s="152"/>
      <c r="H5" s="152"/>
      <c r="I5" s="152"/>
      <c r="J5" s="152"/>
      <c r="K5" s="152"/>
      <c r="L5" s="152"/>
      <c r="M5" s="152"/>
      <c r="N5" s="152"/>
      <c r="O5" s="151"/>
      <c r="P5" s="151"/>
      <c r="Q5" s="151"/>
      <c r="R5" s="151"/>
      <c r="S5" s="151"/>
      <c r="T5" s="152"/>
      <c r="U5" s="152"/>
      <c r="V5" s="152"/>
      <c r="W5" s="152"/>
      <c r="X5" s="77"/>
      <c r="Y5" s="76"/>
      <c r="Z5" s="41"/>
      <c r="AA5" s="41"/>
      <c r="AC5" s="41"/>
    </row>
    <row r="6" spans="1:29" s="27" customFormat="1" ht="15" customHeight="1" x14ac:dyDescent="0.3">
      <c r="A6" s="138">
        <v>2</v>
      </c>
      <c r="B6" s="153" t="s">
        <v>177</v>
      </c>
      <c r="C6" s="151"/>
      <c r="D6" s="151"/>
      <c r="E6" s="151"/>
      <c r="F6" s="151"/>
      <c r="G6" s="152"/>
      <c r="H6" s="152"/>
      <c r="I6" s="152"/>
      <c r="J6" s="152"/>
      <c r="K6" s="152"/>
      <c r="L6" s="152"/>
      <c r="M6" s="152"/>
      <c r="N6" s="152"/>
      <c r="O6" s="151"/>
      <c r="P6" s="151"/>
      <c r="Q6" s="151"/>
      <c r="R6" s="151"/>
      <c r="S6" s="151"/>
      <c r="T6" s="152"/>
      <c r="U6" s="152"/>
      <c r="V6" s="152"/>
      <c r="W6" s="152"/>
      <c r="X6" s="77"/>
      <c r="Y6" s="76"/>
      <c r="Z6" s="41"/>
      <c r="AA6" s="41"/>
      <c r="AC6" s="41"/>
    </row>
    <row r="7" spans="1:29" s="27" customFormat="1" ht="15" customHeight="1" x14ac:dyDescent="0.3">
      <c r="A7" s="138"/>
      <c r="B7" s="675" t="s">
        <v>176</v>
      </c>
      <c r="C7" s="675"/>
      <c r="D7" s="675"/>
      <c r="E7" s="675"/>
      <c r="F7" s="676"/>
      <c r="G7" s="142" t="str">
        <f>'LEMBAR KERJA'!S7</f>
        <v>Instalasi sterilisasi pusat</v>
      </c>
      <c r="H7" s="148"/>
      <c r="I7" s="148"/>
      <c r="J7" s="148"/>
      <c r="K7" s="293"/>
      <c r="L7" s="294"/>
      <c r="M7" s="294"/>
      <c r="N7" s="295"/>
      <c r="O7" s="151"/>
      <c r="P7" s="151"/>
      <c r="Q7" s="151"/>
      <c r="R7" s="151"/>
      <c r="S7" s="151"/>
      <c r="T7" s="152"/>
      <c r="U7" s="152"/>
      <c r="V7" s="152"/>
      <c r="W7" s="152"/>
      <c r="X7" s="77"/>
      <c r="Y7" s="76"/>
      <c r="Z7" s="41"/>
      <c r="AA7" s="41"/>
      <c r="AC7" s="41"/>
    </row>
    <row r="8" spans="1:29" s="27" customFormat="1" ht="15" customHeight="1" x14ac:dyDescent="0.3">
      <c r="A8" s="138"/>
      <c r="B8" s="682" t="s">
        <v>161</v>
      </c>
      <c r="C8" s="682"/>
      <c r="D8" s="682"/>
      <c r="E8" s="682"/>
      <c r="F8" s="682"/>
      <c r="G8" s="143" t="str">
        <f>'LEMBAR KERJA'!S8</f>
        <v>STERILISASI</v>
      </c>
      <c r="H8" s="144"/>
      <c r="I8" s="71"/>
      <c r="J8" s="145"/>
      <c r="K8" s="144"/>
      <c r="L8" s="144"/>
      <c r="M8" s="144"/>
      <c r="N8" s="146"/>
      <c r="O8" s="151"/>
      <c r="P8" s="151"/>
      <c r="Q8" s="151"/>
      <c r="R8" s="151"/>
      <c r="S8" s="151"/>
      <c r="T8" s="152"/>
      <c r="U8" s="152"/>
      <c r="V8" s="152"/>
      <c r="W8" s="152"/>
      <c r="X8" s="77"/>
      <c r="Y8" s="76"/>
      <c r="Z8" s="41"/>
      <c r="AA8" s="41"/>
      <c r="AC8" s="41"/>
    </row>
    <row r="9" spans="1:29" s="27" customFormat="1" ht="15" customHeight="1" x14ac:dyDescent="0.3">
      <c r="A9" s="141"/>
      <c r="B9" s="682" t="s">
        <v>178</v>
      </c>
      <c r="C9" s="682"/>
      <c r="D9" s="682"/>
      <c r="E9" s="682"/>
      <c r="F9" s="682"/>
      <c r="G9" s="143" t="str">
        <f>'LEMBAR KERJA'!S11</f>
        <v>MARSHEL ASYRAF DALTAFIKA</v>
      </c>
      <c r="H9" s="147"/>
      <c r="I9" s="71"/>
      <c r="J9" s="148"/>
      <c r="K9" s="148"/>
      <c r="L9" s="144"/>
      <c r="M9" s="148"/>
      <c r="N9" s="149"/>
      <c r="O9" s="151"/>
      <c r="P9" s="151"/>
      <c r="Q9" s="151"/>
      <c r="R9" s="151"/>
      <c r="S9" s="151"/>
      <c r="T9" s="152"/>
      <c r="U9" s="152"/>
      <c r="V9" s="152"/>
      <c r="W9" s="152"/>
      <c r="X9" s="77"/>
      <c r="Y9" s="76"/>
      <c r="Z9" s="41"/>
      <c r="AA9" s="41"/>
      <c r="AC9" s="41"/>
    </row>
    <row r="10" spans="1:29" s="27" customFormat="1" ht="15" customHeight="1" x14ac:dyDescent="0.3">
      <c r="A10" s="72"/>
      <c r="B10" s="73"/>
      <c r="C10" s="74"/>
      <c r="H10" s="41"/>
      <c r="I10" s="41"/>
      <c r="N10" s="73"/>
      <c r="O10" s="41"/>
      <c r="P10" s="41"/>
      <c r="Q10" s="41"/>
      <c r="R10" s="41"/>
      <c r="S10" s="41"/>
      <c r="U10" s="41"/>
      <c r="V10" s="41"/>
      <c r="W10" s="41"/>
      <c r="X10" s="41"/>
      <c r="Y10" s="41"/>
      <c r="Z10" s="41"/>
      <c r="AA10" s="41"/>
      <c r="AC10" s="41"/>
    </row>
    <row r="11" spans="1:29" s="27" customFormat="1" ht="15" customHeight="1" x14ac:dyDescent="0.3">
      <c r="A11" s="138">
        <v>3</v>
      </c>
      <c r="B11" s="139" t="s">
        <v>117</v>
      </c>
      <c r="C11" s="141"/>
      <c r="D11" s="141"/>
      <c r="E11" s="141"/>
      <c r="F11" s="141"/>
      <c r="G11" s="141"/>
      <c r="H11" s="141"/>
      <c r="I11" s="141"/>
      <c r="J11" s="141"/>
      <c r="K11" s="141"/>
      <c r="L11" s="141"/>
      <c r="M11" s="141"/>
      <c r="N11" s="141"/>
      <c r="O11" s="41"/>
      <c r="P11" s="41"/>
      <c r="Q11" s="41"/>
      <c r="R11" s="41"/>
      <c r="S11" s="41"/>
      <c r="U11" s="41"/>
      <c r="V11" s="70"/>
      <c r="W11" s="70"/>
      <c r="X11" s="41"/>
      <c r="Y11" s="41"/>
      <c r="Z11" s="41"/>
      <c r="AA11" s="41"/>
      <c r="AC11" s="41"/>
    </row>
    <row r="12" spans="1:29" s="27" customFormat="1" ht="15" customHeight="1" x14ac:dyDescent="0.3">
      <c r="A12" s="141"/>
      <c r="B12" s="682" t="s">
        <v>118</v>
      </c>
      <c r="C12" s="682"/>
      <c r="D12" s="682"/>
      <c r="E12" s="682"/>
      <c r="F12" s="682"/>
      <c r="G12" s="143" t="s">
        <v>119</v>
      </c>
      <c r="H12" s="144">
        <f>'PENGOLAHAN DATA'!U23</f>
        <v>24.55</v>
      </c>
      <c r="I12" s="71" t="s">
        <v>120</v>
      </c>
      <c r="J12" s="145">
        <f>'PENGOLAHAN DATA'!AA23</f>
        <v>0.63</v>
      </c>
      <c r="K12" s="144"/>
      <c r="L12" s="144" t="s">
        <v>172</v>
      </c>
      <c r="M12" s="144" t="s">
        <v>41</v>
      </c>
      <c r="N12" s="146"/>
      <c r="O12" s="41"/>
      <c r="P12" s="41"/>
      <c r="Q12" s="41"/>
      <c r="R12" s="41"/>
      <c r="S12" s="41"/>
      <c r="U12" s="41"/>
      <c r="V12" s="70"/>
      <c r="W12" s="70"/>
      <c r="X12" s="41"/>
      <c r="Y12" s="41"/>
      <c r="Z12" s="41"/>
      <c r="AA12" s="41"/>
      <c r="AC12" s="41"/>
    </row>
    <row r="13" spans="1:29" s="27" customFormat="1" ht="15" customHeight="1" x14ac:dyDescent="0.3">
      <c r="A13" s="141"/>
      <c r="B13" s="682" t="s">
        <v>173</v>
      </c>
      <c r="C13" s="682"/>
      <c r="D13" s="682"/>
      <c r="E13" s="682"/>
      <c r="F13" s="682"/>
      <c r="G13" s="142" t="s">
        <v>119</v>
      </c>
      <c r="H13" s="147">
        <f>'PENGOLAHAN DATA'!U24</f>
        <v>55.5</v>
      </c>
      <c r="I13" s="71" t="s">
        <v>120</v>
      </c>
      <c r="J13" s="148">
        <f>'PENGOLAHAN DATA'!AA24</f>
        <v>2.9</v>
      </c>
      <c r="K13" s="148"/>
      <c r="L13" s="144" t="s">
        <v>172</v>
      </c>
      <c r="M13" s="148" t="s">
        <v>174</v>
      </c>
      <c r="N13" s="149"/>
      <c r="O13" s="41"/>
      <c r="P13" s="41"/>
      <c r="Q13" s="41"/>
      <c r="R13" s="41"/>
      <c r="S13" s="41"/>
      <c r="U13" s="41"/>
      <c r="V13" s="70"/>
      <c r="W13" s="70"/>
      <c r="X13" s="41"/>
      <c r="Y13" s="41"/>
      <c r="Z13" s="41"/>
      <c r="AA13" s="41"/>
      <c r="AC13" s="41"/>
    </row>
    <row r="14" spans="1:29" s="27" customFormat="1" ht="15" customHeight="1" x14ac:dyDescent="0.3">
      <c r="A14" s="141"/>
      <c r="B14" s="682" t="str">
        <f>'LEMBAR KERJA'!C25</f>
        <v>Tegangan Utama</v>
      </c>
      <c r="C14" s="682"/>
      <c r="D14" s="682"/>
      <c r="E14" s="682"/>
      <c r="F14" s="682"/>
      <c r="G14" s="392" t="s">
        <v>44</v>
      </c>
      <c r="H14" s="393"/>
      <c r="I14" s="71" t="s">
        <v>6</v>
      </c>
      <c r="J14" s="681">
        <f>'LEMBAR KERJA'!M25</f>
        <v>222</v>
      </c>
      <c r="K14" s="681"/>
      <c r="L14" s="681"/>
      <c r="M14" s="148" t="s">
        <v>45</v>
      </c>
      <c r="N14" s="149"/>
      <c r="O14" s="41"/>
      <c r="P14" s="41"/>
      <c r="Q14" s="41"/>
      <c r="R14" s="41"/>
      <c r="S14" s="41"/>
      <c r="U14" s="41"/>
      <c r="V14" s="70"/>
      <c r="W14" s="70"/>
      <c r="X14" s="41"/>
      <c r="Y14" s="41"/>
      <c r="Z14" s="41"/>
      <c r="AA14" s="41"/>
      <c r="AC14" s="41"/>
    </row>
    <row r="15" spans="1:29" s="27" customFormat="1" ht="15" customHeight="1" x14ac:dyDescent="0.3">
      <c r="A15" s="72"/>
      <c r="B15" s="73"/>
      <c r="C15" s="74"/>
      <c r="H15" s="41"/>
      <c r="I15" s="41"/>
      <c r="N15" s="41"/>
      <c r="O15" s="41"/>
      <c r="P15" s="41"/>
      <c r="Q15" s="41"/>
      <c r="R15" s="41"/>
      <c r="S15" s="41"/>
      <c r="T15" s="41"/>
      <c r="U15" s="41"/>
      <c r="V15" s="41"/>
      <c r="W15" s="41"/>
      <c r="X15" s="41"/>
      <c r="Y15" s="41"/>
      <c r="Z15" s="41"/>
      <c r="AA15" s="41"/>
      <c r="AC15" s="41"/>
    </row>
    <row r="16" spans="1:29" s="65" customFormat="1" ht="15" customHeight="1" x14ac:dyDescent="0.3">
      <c r="A16" s="26">
        <v>4</v>
      </c>
      <c r="B16" s="63" t="s">
        <v>121</v>
      </c>
      <c r="E16" s="27"/>
      <c r="F16" s="27"/>
      <c r="G16" s="27"/>
      <c r="H16" s="27"/>
      <c r="I16" s="27"/>
      <c r="J16" s="27"/>
      <c r="K16" s="27"/>
      <c r="L16" s="27"/>
      <c r="M16" s="27"/>
      <c r="N16" s="27"/>
      <c r="O16" s="27"/>
      <c r="P16" s="27"/>
      <c r="Q16" s="27"/>
      <c r="R16" s="27"/>
      <c r="S16" s="27"/>
      <c r="T16" s="27"/>
      <c r="U16" s="27"/>
    </row>
    <row r="17" spans="1:42" s="64" customFormat="1" ht="15" customHeight="1" thickBot="1" x14ac:dyDescent="0.35">
      <c r="A17" s="41"/>
      <c r="B17" s="133" t="s">
        <v>27</v>
      </c>
      <c r="C17" s="427" t="s">
        <v>28</v>
      </c>
      <c r="D17" s="428"/>
      <c r="E17" s="428"/>
      <c r="F17" s="428"/>
      <c r="G17" s="428"/>
      <c r="H17" s="429"/>
      <c r="I17" s="427" t="s">
        <v>11</v>
      </c>
      <c r="J17" s="428"/>
      <c r="K17" s="428"/>
      <c r="L17" s="429"/>
      <c r="M17" s="427" t="s">
        <v>15</v>
      </c>
      <c r="N17" s="428"/>
      <c r="O17" s="428"/>
      <c r="P17" s="429"/>
      <c r="Q17" s="427" t="s">
        <v>29</v>
      </c>
      <c r="R17" s="428"/>
      <c r="S17" s="428"/>
      <c r="T17" s="429"/>
      <c r="U17" s="427" t="s">
        <v>163</v>
      </c>
      <c r="V17" s="428"/>
      <c r="W17" s="428"/>
      <c r="X17" s="429"/>
    </row>
    <row r="18" spans="1:42" s="64" customFormat="1" ht="15" customHeight="1" thickTop="1" x14ac:dyDescent="0.3">
      <c r="A18" s="41"/>
      <c r="B18" s="284">
        <v>1</v>
      </c>
      <c r="C18" s="686" t="str">
        <f>'LEMBAR KERJA'!C17</f>
        <v>Electrical Safety Analyzer</v>
      </c>
      <c r="D18" s="687"/>
      <c r="E18" s="687"/>
      <c r="F18" s="687"/>
      <c r="G18" s="687"/>
      <c r="H18" s="688"/>
      <c r="I18" s="683" t="str">
        <f>'LEMBAR KERJA'!I17</f>
        <v xml:space="preserve">RIGEL </v>
      </c>
      <c r="J18" s="684"/>
      <c r="K18" s="684"/>
      <c r="L18" s="685"/>
      <c r="M18" s="683" t="str">
        <f>'LEMBAR KERJA'!M17</f>
        <v>288 PLUS</v>
      </c>
      <c r="N18" s="684"/>
      <c r="O18" s="684"/>
      <c r="P18" s="685"/>
      <c r="Q18" s="683" t="str">
        <f>'LEMBAR KERJA'!Q17</f>
        <v>17Q-1323</v>
      </c>
      <c r="R18" s="684"/>
      <c r="S18" s="684"/>
      <c r="T18" s="685"/>
      <c r="U18" s="365" t="str">
        <f>'LEMBAR KERJA'!U17</f>
        <v>LK-032-IDN</v>
      </c>
      <c r="V18" s="365"/>
      <c r="W18" s="365"/>
      <c r="X18" s="365"/>
    </row>
    <row r="19" spans="1:42" s="64" customFormat="1" ht="15" customHeight="1" x14ac:dyDescent="0.3">
      <c r="A19" s="41"/>
      <c r="B19" s="124">
        <v>2</v>
      </c>
      <c r="C19" s="389" t="str">
        <f>'LEMBAR KERJA'!C18</f>
        <v>Thermohygrometer</v>
      </c>
      <c r="D19" s="390"/>
      <c r="E19" s="390"/>
      <c r="F19" s="390"/>
      <c r="G19" s="390"/>
      <c r="H19" s="391"/>
      <c r="I19" s="392" t="str">
        <f>'LEMBAR KERJA'!I18</f>
        <v>-</v>
      </c>
      <c r="J19" s="393"/>
      <c r="K19" s="393"/>
      <c r="L19" s="394"/>
      <c r="M19" s="392" t="str">
        <f>'LEMBAR KERJA'!M18</f>
        <v>HTC-1</v>
      </c>
      <c r="N19" s="393"/>
      <c r="O19" s="393"/>
      <c r="P19" s="394"/>
      <c r="Q19" s="392" t="str">
        <f>'LEMBAR KERJA'!Q18</f>
        <v>RKS-THG-010</v>
      </c>
      <c r="R19" s="393"/>
      <c r="S19" s="393"/>
      <c r="T19" s="394"/>
      <c r="U19" s="363" t="str">
        <f>'LEMBAR KERJA'!U18</f>
        <v>LK-385-IDN</v>
      </c>
      <c r="V19" s="363"/>
      <c r="W19" s="363"/>
      <c r="X19" s="363"/>
    </row>
    <row r="20" spans="1:42" s="64" customFormat="1" ht="15" customHeight="1" x14ac:dyDescent="0.3">
      <c r="A20" s="41"/>
      <c r="B20" s="124">
        <v>3</v>
      </c>
      <c r="C20" s="389" t="str">
        <f>'LEMBAR KERJA'!C19</f>
        <v>High Temperature Data Logger</v>
      </c>
      <c r="D20" s="390"/>
      <c r="E20" s="390"/>
      <c r="F20" s="390"/>
      <c r="G20" s="390"/>
      <c r="H20" s="391"/>
      <c r="I20" s="392" t="str">
        <f>'LEMBAR KERJA'!I19</f>
        <v>MADGETECH</v>
      </c>
      <c r="J20" s="393"/>
      <c r="K20" s="393"/>
      <c r="L20" s="394"/>
      <c r="M20" s="392" t="str">
        <f>'LEMBAR KERJA'!M19</f>
        <v>HiTemp140</v>
      </c>
      <c r="N20" s="393"/>
      <c r="O20" s="393"/>
      <c r="P20" s="394"/>
      <c r="Q20" s="392" t="str">
        <f>'LEMBAR KERJA'!Q19</f>
        <v>T53884</v>
      </c>
      <c r="R20" s="393"/>
      <c r="S20" s="393"/>
      <c r="T20" s="394"/>
      <c r="U20" s="363" t="str">
        <f>'LEMBAR KERJA'!U19</f>
        <v>AC-2481</v>
      </c>
      <c r="V20" s="363"/>
      <c r="W20" s="363"/>
      <c r="X20" s="363"/>
    </row>
    <row r="21" spans="1:42" x14ac:dyDescent="0.3">
      <c r="B21" s="41"/>
      <c r="AA21" s="689"/>
      <c r="AB21" s="689"/>
      <c r="AC21" s="689"/>
      <c r="AD21" s="689"/>
      <c r="AE21" s="689"/>
      <c r="AF21" s="689"/>
      <c r="AG21" s="689"/>
      <c r="AH21" s="689"/>
      <c r="AI21" s="689"/>
      <c r="AJ21" s="689"/>
      <c r="AK21" s="689"/>
      <c r="AL21" s="689"/>
      <c r="AM21" s="689"/>
      <c r="AN21" s="689"/>
      <c r="AO21" s="689"/>
      <c r="AP21" s="689"/>
    </row>
    <row r="22" spans="1:42" ht="15" customHeight="1" x14ac:dyDescent="0.3">
      <c r="A22" s="46">
        <v>5</v>
      </c>
      <c r="B22" s="65" t="s">
        <v>122</v>
      </c>
      <c r="C22" s="65"/>
      <c r="D22" s="65"/>
      <c r="E22" s="65"/>
      <c r="F22" s="65"/>
      <c r="G22" s="65"/>
      <c r="H22" s="65"/>
      <c r="I22" s="65"/>
      <c r="J22" s="65"/>
      <c r="K22" s="65"/>
      <c r="L22" s="65"/>
      <c r="AA22" s="689"/>
      <c r="AB22" s="689"/>
      <c r="AC22" s="689"/>
      <c r="AD22" s="689"/>
      <c r="AE22" s="689"/>
      <c r="AF22" s="689"/>
      <c r="AG22" s="689"/>
      <c r="AH22" s="689"/>
      <c r="AI22" s="689"/>
      <c r="AJ22" s="689"/>
      <c r="AK22" s="689"/>
      <c r="AL22" s="689"/>
      <c r="AM22" s="689"/>
      <c r="AN22" s="689"/>
      <c r="AO22" s="689"/>
      <c r="AP22" s="689"/>
    </row>
    <row r="23" spans="1:42" ht="15" customHeight="1" thickBot="1" x14ac:dyDescent="0.35">
      <c r="A23" s="65"/>
      <c r="B23" s="54" t="s">
        <v>27</v>
      </c>
      <c r="C23" s="532" t="s">
        <v>37</v>
      </c>
      <c r="D23" s="532"/>
      <c r="E23" s="532"/>
      <c r="F23" s="532"/>
      <c r="G23" s="532"/>
      <c r="H23" s="532"/>
      <c r="I23" s="532"/>
      <c r="J23" s="532" t="s">
        <v>106</v>
      </c>
      <c r="K23" s="532"/>
      <c r="L23" s="532"/>
      <c r="M23" s="532"/>
      <c r="N23" s="532"/>
      <c r="AA23" s="75"/>
      <c r="AB23" s="75"/>
      <c r="AC23" s="75"/>
      <c r="AD23" s="75"/>
      <c r="AE23" s="75"/>
      <c r="AF23" s="75"/>
      <c r="AG23" s="75"/>
      <c r="AH23" s="75"/>
      <c r="AI23" s="75"/>
      <c r="AJ23" s="75"/>
      <c r="AK23" s="75"/>
      <c r="AL23" s="75"/>
      <c r="AM23" s="75"/>
      <c r="AN23" s="75"/>
      <c r="AO23" s="75"/>
      <c r="AP23" s="75"/>
    </row>
    <row r="24" spans="1:42" ht="15" customHeight="1" thickTop="1" x14ac:dyDescent="0.3">
      <c r="A24" s="65"/>
      <c r="B24" s="56">
        <v>1</v>
      </c>
      <c r="C24" s="663" t="str">
        <f>'PENGOLAHAN DATA'!C29</f>
        <v>Badan dan permukaan</v>
      </c>
      <c r="D24" s="663"/>
      <c r="E24" s="663"/>
      <c r="F24" s="663"/>
      <c r="G24" s="663"/>
      <c r="H24" s="663"/>
      <c r="I24" s="663"/>
      <c r="J24" s="453" t="str">
        <f>'PENGOLAHAN DATA'!K29</f>
        <v>Baik</v>
      </c>
      <c r="K24" s="453"/>
      <c r="L24" s="453"/>
      <c r="M24" s="453"/>
      <c r="N24" s="453"/>
      <c r="AA24" s="75"/>
      <c r="AB24" s="75"/>
      <c r="AC24" s="75"/>
      <c r="AD24" s="75"/>
      <c r="AE24" s="75"/>
      <c r="AF24" s="75"/>
      <c r="AG24" s="75"/>
      <c r="AH24" s="75"/>
      <c r="AI24" s="75"/>
      <c r="AJ24" s="75"/>
      <c r="AK24" s="75"/>
      <c r="AL24" s="75"/>
      <c r="AM24" s="75"/>
      <c r="AN24" s="75"/>
      <c r="AO24" s="75"/>
      <c r="AP24" s="75"/>
    </row>
    <row r="25" spans="1:42" ht="15" customHeight="1" x14ac:dyDescent="0.3">
      <c r="A25" s="65"/>
      <c r="B25" s="39">
        <v>2</v>
      </c>
      <c r="C25" s="663" t="str">
        <f>'PENGOLAHAN DATA'!C30</f>
        <v>Kotak Kontak Alat</v>
      </c>
      <c r="D25" s="663"/>
      <c r="E25" s="663"/>
      <c r="F25" s="663"/>
      <c r="G25" s="663"/>
      <c r="H25" s="663"/>
      <c r="I25" s="663"/>
      <c r="J25" s="453" t="str">
        <f>'PENGOLAHAN DATA'!K30</f>
        <v>Baik</v>
      </c>
      <c r="K25" s="453"/>
      <c r="L25" s="453"/>
      <c r="M25" s="453"/>
      <c r="N25" s="453"/>
      <c r="AA25" s="75"/>
      <c r="AB25" s="75"/>
      <c r="AC25" s="75"/>
      <c r="AD25" s="75"/>
      <c r="AE25" s="75"/>
      <c r="AF25" s="75"/>
      <c r="AG25" s="75"/>
      <c r="AH25" s="75"/>
      <c r="AI25" s="75"/>
      <c r="AJ25" s="75"/>
      <c r="AK25" s="75"/>
      <c r="AL25" s="75"/>
      <c r="AM25" s="75"/>
      <c r="AN25" s="75"/>
      <c r="AO25" s="75"/>
      <c r="AP25" s="75"/>
    </row>
    <row r="26" spans="1:42" ht="15" customHeight="1" x14ac:dyDescent="0.3">
      <c r="A26" s="65"/>
      <c r="B26" s="39">
        <v>3</v>
      </c>
      <c r="C26" s="663" t="str">
        <f>'PENGOLAHAN DATA'!C31</f>
        <v>Kabel Catu Utama</v>
      </c>
      <c r="D26" s="663"/>
      <c r="E26" s="663"/>
      <c r="F26" s="663"/>
      <c r="G26" s="663"/>
      <c r="H26" s="663"/>
      <c r="I26" s="663"/>
      <c r="J26" s="453" t="str">
        <f>'PENGOLAHAN DATA'!K31</f>
        <v>Baik</v>
      </c>
      <c r="K26" s="453"/>
      <c r="L26" s="453"/>
      <c r="M26" s="453"/>
      <c r="N26" s="453"/>
      <c r="AA26" s="75"/>
      <c r="AB26" s="75"/>
      <c r="AC26" s="75"/>
      <c r="AD26" s="75"/>
      <c r="AE26" s="75"/>
      <c r="AF26" s="75"/>
      <c r="AG26" s="75"/>
      <c r="AH26" s="75"/>
      <c r="AI26" s="75"/>
      <c r="AJ26" s="75"/>
      <c r="AK26" s="75"/>
      <c r="AL26" s="75"/>
      <c r="AM26" s="75"/>
      <c r="AN26" s="75"/>
      <c r="AO26" s="75"/>
      <c r="AP26" s="75"/>
    </row>
    <row r="27" spans="1:42" ht="15" customHeight="1" x14ac:dyDescent="0.3">
      <c r="A27" s="65"/>
      <c r="B27" s="39">
        <v>4</v>
      </c>
      <c r="C27" s="663" t="str">
        <f>'PENGOLAHAN DATA'!C32</f>
        <v>Sekering pengaman</v>
      </c>
      <c r="D27" s="663"/>
      <c r="E27" s="663"/>
      <c r="F27" s="663"/>
      <c r="G27" s="663"/>
      <c r="H27" s="663"/>
      <c r="I27" s="663"/>
      <c r="J27" s="453" t="str">
        <f>'PENGOLAHAN DATA'!K32</f>
        <v>Baik</v>
      </c>
      <c r="K27" s="453"/>
      <c r="L27" s="453"/>
      <c r="M27" s="453"/>
      <c r="N27" s="453"/>
      <c r="AA27" s="75"/>
      <c r="AB27" s="75"/>
      <c r="AC27" s="75"/>
      <c r="AD27" s="75"/>
      <c r="AE27" s="75"/>
      <c r="AF27" s="75"/>
      <c r="AG27" s="75"/>
      <c r="AH27" s="75"/>
      <c r="AI27" s="75"/>
      <c r="AJ27" s="75"/>
      <c r="AK27" s="75"/>
      <c r="AL27" s="75"/>
      <c r="AM27" s="75"/>
      <c r="AN27" s="75"/>
      <c r="AO27" s="75"/>
      <c r="AP27" s="75"/>
    </row>
    <row r="28" spans="1:42" ht="15" customHeight="1" x14ac:dyDescent="0.3">
      <c r="A28" s="65"/>
      <c r="B28" s="39">
        <v>5</v>
      </c>
      <c r="C28" s="663" t="str">
        <f>'PENGOLAHAN DATA'!C33</f>
        <v>Tombol, saklar dan control</v>
      </c>
      <c r="D28" s="663"/>
      <c r="E28" s="663"/>
      <c r="F28" s="663"/>
      <c r="G28" s="663"/>
      <c r="H28" s="663"/>
      <c r="I28" s="663"/>
      <c r="J28" s="453" t="str">
        <f>'PENGOLAHAN DATA'!K33</f>
        <v>Baik</v>
      </c>
      <c r="K28" s="453"/>
      <c r="L28" s="453"/>
      <c r="M28" s="453"/>
      <c r="N28" s="453"/>
      <c r="AA28" s="75"/>
      <c r="AB28" s="75"/>
      <c r="AC28" s="75"/>
      <c r="AD28" s="75"/>
      <c r="AE28" s="75"/>
      <c r="AF28" s="75"/>
      <c r="AG28" s="75"/>
      <c r="AH28" s="75"/>
      <c r="AI28" s="75"/>
      <c r="AJ28" s="75"/>
      <c r="AK28" s="75"/>
      <c r="AL28" s="75"/>
      <c r="AM28" s="75"/>
      <c r="AN28" s="75"/>
      <c r="AO28" s="75"/>
      <c r="AP28" s="75"/>
    </row>
    <row r="29" spans="1:42" ht="15" customHeight="1" x14ac:dyDescent="0.3">
      <c r="A29" s="65"/>
      <c r="B29" s="39">
        <v>6</v>
      </c>
      <c r="C29" s="663" t="str">
        <f>'PENGOLAHAN DATA'!C34</f>
        <v>Tampilan dan indikator</v>
      </c>
      <c r="D29" s="663"/>
      <c r="E29" s="663"/>
      <c r="F29" s="663"/>
      <c r="G29" s="663"/>
      <c r="H29" s="663"/>
      <c r="I29" s="663"/>
      <c r="J29" s="453" t="str">
        <f>'PENGOLAHAN DATA'!K34</f>
        <v>Baik</v>
      </c>
      <c r="K29" s="453"/>
      <c r="L29" s="453"/>
      <c r="M29" s="453"/>
      <c r="N29" s="453"/>
      <c r="AA29" s="75"/>
      <c r="AB29" s="75"/>
      <c r="AC29" s="75"/>
      <c r="AD29" s="75"/>
      <c r="AE29" s="75"/>
      <c r="AF29" s="75"/>
      <c r="AG29" s="75"/>
      <c r="AH29" s="75"/>
      <c r="AI29" s="75"/>
      <c r="AJ29" s="75"/>
      <c r="AK29" s="75"/>
      <c r="AL29" s="75"/>
      <c r="AM29" s="75"/>
      <c r="AN29" s="75"/>
      <c r="AO29" s="75"/>
      <c r="AP29" s="75"/>
    </row>
    <row r="30" spans="1:42" x14ac:dyDescent="0.3">
      <c r="A30" s="65"/>
      <c r="B30" s="66"/>
      <c r="C30" s="65"/>
      <c r="D30" s="65"/>
      <c r="E30" s="65"/>
      <c r="F30" s="65"/>
      <c r="G30" s="65"/>
      <c r="H30" s="65"/>
      <c r="I30" s="65"/>
      <c r="J30" s="65"/>
      <c r="K30" s="65"/>
      <c r="L30" s="65"/>
      <c r="AA30" s="75"/>
      <c r="AB30" s="75"/>
      <c r="AC30" s="75"/>
      <c r="AD30" s="75"/>
      <c r="AE30" s="75"/>
      <c r="AF30" s="75"/>
      <c r="AG30" s="75"/>
      <c r="AH30" s="75"/>
      <c r="AI30" s="75"/>
      <c r="AJ30" s="75"/>
      <c r="AK30" s="75"/>
      <c r="AL30" s="75"/>
      <c r="AM30" s="75"/>
      <c r="AN30" s="75"/>
      <c r="AO30" s="75"/>
      <c r="AP30" s="75"/>
    </row>
    <row r="31" spans="1:42" s="64" customFormat="1" ht="15" customHeight="1" x14ac:dyDescent="0.3">
      <c r="A31" s="46">
        <v>6</v>
      </c>
      <c r="B31" s="65" t="s">
        <v>123</v>
      </c>
    </row>
    <row r="32" spans="1:42" s="64" customFormat="1" ht="15" customHeight="1" thickBot="1" x14ac:dyDescent="0.35">
      <c r="B32" s="54" t="s">
        <v>27</v>
      </c>
      <c r="C32" s="532" t="str">
        <f>'[3]PENGOLAHAN DATA'!C38</f>
        <v>Parameter</v>
      </c>
      <c r="D32" s="532"/>
      <c r="E32" s="532"/>
      <c r="F32" s="532"/>
      <c r="G32" s="532"/>
      <c r="H32" s="532"/>
      <c r="I32" s="532"/>
      <c r="J32" s="532"/>
      <c r="K32" s="532"/>
      <c r="L32" s="532"/>
      <c r="M32" s="532"/>
      <c r="N32" s="532"/>
      <c r="O32" s="532" t="s">
        <v>38</v>
      </c>
      <c r="P32" s="532"/>
      <c r="Q32" s="532"/>
      <c r="R32" s="532"/>
      <c r="S32" s="532"/>
      <c r="T32" s="382" t="s">
        <v>74</v>
      </c>
      <c r="U32" s="383"/>
      <c r="V32" s="383"/>
      <c r="W32" s="383"/>
      <c r="X32" s="384"/>
    </row>
    <row r="33" spans="1:24" s="64" customFormat="1" ht="15" customHeight="1" thickTop="1" x14ac:dyDescent="0.3">
      <c r="B33" s="56">
        <v>1</v>
      </c>
      <c r="C33" s="663" t="str">
        <f>'PENGOLAHAN DATA'!C38</f>
        <v>Resistansi pembumian Kabel dapat dilepas (DPS)</v>
      </c>
      <c r="D33" s="663"/>
      <c r="E33" s="663"/>
      <c r="F33" s="663"/>
      <c r="G33" s="663"/>
      <c r="H33" s="663"/>
      <c r="I33" s="663"/>
      <c r="J33" s="663"/>
      <c r="K33" s="663"/>
      <c r="L33" s="663"/>
      <c r="M33" s="663"/>
      <c r="N33" s="663"/>
      <c r="O33" s="690">
        <f>'PENGOLAHAN DATA'!N38</f>
        <v>8.5290055302537249E-2</v>
      </c>
      <c r="P33" s="691"/>
      <c r="Q33" s="691"/>
      <c r="R33" s="692" t="s">
        <v>77</v>
      </c>
      <c r="S33" s="693"/>
      <c r="T33" s="58" t="s">
        <v>79</v>
      </c>
      <c r="U33" s="536">
        <f>'PENGOLAHAN DATA'!R38</f>
        <v>0.3</v>
      </c>
      <c r="V33" s="536"/>
      <c r="W33" s="536"/>
      <c r="X33" s="57" t="s">
        <v>77</v>
      </c>
    </row>
    <row r="34" spans="1:24" s="64" customFormat="1" ht="15" customHeight="1" x14ac:dyDescent="0.3">
      <c r="B34" s="39">
        <v>2</v>
      </c>
      <c r="C34" s="670" t="str">
        <f>'PENGOLAHAN DATA'!C39</f>
        <v>Arus bocor peralatan metode Langsung kelas I tipe B</v>
      </c>
      <c r="D34" s="670"/>
      <c r="E34" s="670"/>
      <c r="F34" s="670"/>
      <c r="G34" s="670"/>
      <c r="H34" s="670"/>
      <c r="I34" s="670"/>
      <c r="J34" s="670"/>
      <c r="K34" s="670"/>
      <c r="L34" s="670"/>
      <c r="M34" s="670"/>
      <c r="N34" s="670"/>
      <c r="O34" s="694">
        <f>'PENGOLAHAN DATA'!N39</f>
        <v>30.500000000000671</v>
      </c>
      <c r="P34" s="695"/>
      <c r="Q34" s="695"/>
      <c r="R34" s="673" t="s">
        <v>108</v>
      </c>
      <c r="S34" s="674"/>
      <c r="T34" s="58" t="s">
        <v>79</v>
      </c>
      <c r="U34" s="536">
        <f>'PENGOLAHAN DATA'!R39</f>
        <v>500</v>
      </c>
      <c r="V34" s="536"/>
      <c r="W34" s="536"/>
      <c r="X34" s="61" t="s">
        <v>108</v>
      </c>
    </row>
    <row r="35" spans="1:24" s="64" customFormat="1" ht="15" hidden="1" customHeight="1" x14ac:dyDescent="0.3">
      <c r="B35" s="39">
        <v>3</v>
      </c>
      <c r="C35" s="669" t="str">
        <f>'PENGOLAHAN DATA'!C40</f>
        <v>Pengukuran arus bocor yang diaplikasikan tidak dilakukan (tidak ada bagian yang diaplikasikan)</v>
      </c>
      <c r="D35" s="670"/>
      <c r="E35" s="670"/>
      <c r="F35" s="670"/>
      <c r="G35" s="670"/>
      <c r="H35" s="670"/>
      <c r="I35" s="670"/>
      <c r="J35" s="670"/>
      <c r="K35" s="670"/>
      <c r="L35" s="670"/>
      <c r="M35" s="670"/>
      <c r="N35" s="670"/>
      <c r="O35" s="671" t="str">
        <f>'PENGOLAHAN DATA'!N40</f>
        <v>-</v>
      </c>
      <c r="P35" s="672"/>
      <c r="Q35" s="672"/>
      <c r="R35" s="673" t="s">
        <v>108</v>
      </c>
      <c r="S35" s="674"/>
      <c r="T35" s="58" t="s">
        <v>79</v>
      </c>
      <c r="U35" s="536">
        <f>'PENGOLAHAN DATA'!R40</f>
        <v>0</v>
      </c>
      <c r="V35" s="536"/>
      <c r="W35" s="536"/>
      <c r="X35" s="61" t="s">
        <v>108</v>
      </c>
    </row>
    <row r="36" spans="1:24" s="64" customFormat="1" ht="15" customHeight="1" x14ac:dyDescent="0.3">
      <c r="B36" s="39">
        <v>3</v>
      </c>
      <c r="C36" s="669" t="str">
        <f>'PENGOLAHAN DATA'!C41</f>
        <v>Resistansi Isolasi</v>
      </c>
      <c r="D36" s="670"/>
      <c r="E36" s="670"/>
      <c r="F36" s="670"/>
      <c r="G36" s="670"/>
      <c r="H36" s="670"/>
      <c r="I36" s="670"/>
      <c r="J36" s="670"/>
      <c r="K36" s="670"/>
      <c r="L36" s="670"/>
      <c r="M36" s="670"/>
      <c r="N36" s="670"/>
      <c r="O36" s="671">
        <f>'PENGOLAHAN DATA'!N41</f>
        <v>94.04647058823528</v>
      </c>
      <c r="P36" s="672"/>
      <c r="Q36" s="672"/>
      <c r="R36" s="673" t="s">
        <v>109</v>
      </c>
      <c r="S36" s="674"/>
      <c r="T36" s="58" t="s">
        <v>72</v>
      </c>
      <c r="U36" s="622">
        <f>'PENGOLAHAN DATA'!R41</f>
        <v>2</v>
      </c>
      <c r="V36" s="622"/>
      <c r="W36" s="622"/>
      <c r="X36" s="61" t="s">
        <v>109</v>
      </c>
    </row>
    <row r="37" spans="1:24" s="64" customFormat="1" ht="15" customHeight="1" x14ac:dyDescent="0.3">
      <c r="B37" s="66"/>
      <c r="C37" s="266"/>
      <c r="D37" s="53"/>
      <c r="E37" s="53"/>
      <c r="F37" s="53"/>
      <c r="G37" s="53"/>
      <c r="H37" s="53"/>
      <c r="I37" s="53"/>
      <c r="J37" s="53"/>
      <c r="K37" s="53"/>
      <c r="L37" s="53"/>
      <c r="M37" s="53"/>
      <c r="N37" s="53"/>
      <c r="O37" s="267"/>
      <c r="P37" s="267"/>
      <c r="Q37" s="267"/>
      <c r="R37" s="167"/>
      <c r="S37" s="167"/>
      <c r="T37" s="167"/>
      <c r="U37" s="66"/>
      <c r="V37" s="66"/>
      <c r="W37" s="66"/>
      <c r="X37" s="167"/>
    </row>
    <row r="38" spans="1:24" s="64" customFormat="1" ht="15" customHeight="1" x14ac:dyDescent="0.25">
      <c r="A38" s="26">
        <v>7</v>
      </c>
      <c r="B38" s="96" t="s">
        <v>124</v>
      </c>
      <c r="C38" s="24"/>
      <c r="D38" s="24"/>
      <c r="E38" s="24"/>
      <c r="F38" s="24"/>
      <c r="G38" s="24"/>
      <c r="H38" s="24"/>
      <c r="I38" s="24"/>
      <c r="J38" s="24"/>
      <c r="K38" s="24"/>
      <c r="L38" s="24"/>
      <c r="M38" s="24"/>
      <c r="N38" s="24"/>
      <c r="O38" s="24"/>
      <c r="P38" s="24"/>
      <c r="Q38" s="24"/>
      <c r="R38" s="24"/>
      <c r="S38" s="24"/>
      <c r="T38" s="24"/>
      <c r="U38" s="24"/>
      <c r="V38" s="24"/>
      <c r="W38" s="24"/>
      <c r="X38" s="24"/>
    </row>
    <row r="39" spans="1:24" s="64" customFormat="1" ht="15" customHeight="1" x14ac:dyDescent="0.25">
      <c r="A39" s="24"/>
      <c r="B39" s="268" t="str">
        <f>'PENGOLAHAN DATA'!B44</f>
        <v xml:space="preserve">1. Akurasi Temperature </v>
      </c>
      <c r="C39" s="24"/>
      <c r="D39" s="24"/>
      <c r="E39" s="24"/>
      <c r="F39" s="24"/>
      <c r="G39" s="24"/>
      <c r="H39" s="269"/>
      <c r="I39" s="24"/>
      <c r="J39" s="24"/>
      <c r="K39" s="24"/>
      <c r="L39" s="24"/>
      <c r="M39" s="24"/>
      <c r="N39" s="24"/>
      <c r="O39" s="24"/>
      <c r="P39" s="24"/>
      <c r="Q39" s="24"/>
      <c r="R39" s="24"/>
      <c r="S39" s="24"/>
      <c r="T39" s="24"/>
      <c r="U39" s="24"/>
      <c r="V39" s="24"/>
      <c r="W39" s="24"/>
      <c r="X39" s="24"/>
    </row>
    <row r="40" spans="1:24" s="64" customFormat="1" ht="15" customHeight="1" x14ac:dyDescent="0.25">
      <c r="A40" s="24"/>
      <c r="B40" s="647" t="s">
        <v>283</v>
      </c>
      <c r="C40" s="648"/>
      <c r="D40" s="648"/>
      <c r="E40" s="648"/>
      <c r="F40" s="648"/>
      <c r="G40" s="648"/>
      <c r="H40" s="649"/>
      <c r="I40" s="647" t="s">
        <v>125</v>
      </c>
      <c r="J40" s="648"/>
      <c r="K40" s="648"/>
      <c r="L40" s="648"/>
      <c r="M40" s="648"/>
      <c r="N40" s="649"/>
      <c r="O40" s="523" t="s">
        <v>111</v>
      </c>
      <c r="P40" s="524"/>
      <c r="Q40" s="524"/>
      <c r="R40" s="524"/>
      <c r="S40" s="525"/>
      <c r="T40" s="523" t="s">
        <v>74</v>
      </c>
      <c r="U40" s="524"/>
      <c r="V40" s="524"/>
      <c r="W40" s="524"/>
      <c r="X40" s="525"/>
    </row>
    <row r="41" spans="1:24" s="64" customFormat="1" ht="15" customHeight="1" thickBot="1" x14ac:dyDescent="0.3">
      <c r="A41" s="24"/>
      <c r="B41" s="698" t="s">
        <v>284</v>
      </c>
      <c r="C41" s="699"/>
      <c r="D41" s="699"/>
      <c r="E41" s="699"/>
      <c r="F41" s="699"/>
      <c r="G41" s="699"/>
      <c r="H41" s="700"/>
      <c r="I41" s="698" t="s">
        <v>284</v>
      </c>
      <c r="J41" s="699"/>
      <c r="K41" s="699"/>
      <c r="L41" s="699"/>
      <c r="M41" s="699"/>
      <c r="N41" s="700"/>
      <c r="O41" s="526" t="s">
        <v>284</v>
      </c>
      <c r="P41" s="527"/>
      <c r="Q41" s="527"/>
      <c r="R41" s="527"/>
      <c r="S41" s="528"/>
      <c r="T41" s="526"/>
      <c r="U41" s="527"/>
      <c r="V41" s="527"/>
      <c r="W41" s="527"/>
      <c r="X41" s="528"/>
    </row>
    <row r="42" spans="1:24" s="64" customFormat="1" ht="15" customHeight="1" thickTop="1" x14ac:dyDescent="0.25">
      <c r="A42" s="24"/>
      <c r="B42" s="665">
        <f>'PENGOLAHAN DATA'!C47</f>
        <v>134</v>
      </c>
      <c r="C42" s="665"/>
      <c r="D42" s="665"/>
      <c r="E42" s="665"/>
      <c r="F42" s="665"/>
      <c r="G42" s="665"/>
      <c r="H42" s="665"/>
      <c r="I42" s="507">
        <f>'PENGOLAHAN DATA'!C51</f>
        <v>135.67030976400375</v>
      </c>
      <c r="J42" s="507"/>
      <c r="K42" s="507"/>
      <c r="L42" s="507"/>
      <c r="M42" s="507"/>
      <c r="N42" s="507"/>
      <c r="O42" s="667">
        <f>'PENGOLAHAN DATA'!F51</f>
        <v>1.670309764003747</v>
      </c>
      <c r="P42" s="667"/>
      <c r="Q42" s="667"/>
      <c r="R42" s="667"/>
      <c r="S42" s="667"/>
      <c r="T42" s="507" t="s">
        <v>285</v>
      </c>
      <c r="U42" s="668"/>
      <c r="V42" s="668"/>
      <c r="W42" s="668"/>
      <c r="X42" s="668"/>
    </row>
    <row r="43" spans="1:24" s="64" customFormat="1" ht="15" customHeight="1" x14ac:dyDescent="0.25">
      <c r="A43" s="24"/>
      <c r="B43" s="731" t="s">
        <v>286</v>
      </c>
      <c r="C43" s="732"/>
      <c r="D43" s="732"/>
      <c r="E43" s="732"/>
      <c r="F43" s="732"/>
      <c r="G43" s="732"/>
      <c r="H43" s="732"/>
      <c r="I43" s="732"/>
      <c r="J43" s="732"/>
      <c r="K43" s="732"/>
      <c r="L43" s="732"/>
      <c r="M43" s="732"/>
      <c r="N43" s="195" t="s">
        <v>120</v>
      </c>
      <c r="O43" s="270">
        <f>MAX('PENGOLAHAN DATA'!I51:K51)</f>
        <v>6.8552267431478645E-2</v>
      </c>
      <c r="P43" s="661" t="s">
        <v>41</v>
      </c>
      <c r="Q43" s="661"/>
      <c r="R43" s="661"/>
      <c r="S43" s="661"/>
      <c r="T43" s="661"/>
      <c r="U43" s="661"/>
      <c r="V43" s="661"/>
      <c r="W43" s="661"/>
      <c r="X43" s="662"/>
    </row>
    <row r="44" spans="1:24" s="64" customFormat="1" ht="15" customHeight="1" x14ac:dyDescent="0.25">
      <c r="A44" s="24"/>
      <c r="B44" s="219"/>
      <c r="C44" s="219"/>
      <c r="D44" s="219"/>
      <c r="E44" s="219"/>
      <c r="F44" s="219"/>
      <c r="G44" s="219"/>
      <c r="H44" s="219"/>
      <c r="I44" s="219"/>
      <c r="J44" s="219"/>
      <c r="K44" s="219"/>
      <c r="L44" s="219"/>
      <c r="M44" s="219"/>
      <c r="N44" s="219"/>
      <c r="O44" s="271"/>
      <c r="P44" s="219"/>
      <c r="Q44" s="272"/>
      <c r="R44" s="272"/>
      <c r="S44" s="272"/>
      <c r="T44" s="27"/>
      <c r="U44" s="27"/>
      <c r="V44" s="27"/>
      <c r="W44" s="27"/>
      <c r="X44" s="27"/>
    </row>
    <row r="45" spans="1:24" s="64" customFormat="1" ht="15" customHeight="1" x14ac:dyDescent="0.25">
      <c r="A45" s="24"/>
      <c r="B45" s="272" t="str">
        <f>'PENGOLAHAN DATA'!B54</f>
        <v>2. Akurasi Waktu</v>
      </c>
      <c r="C45" s="219"/>
      <c r="D45" s="219"/>
      <c r="E45" s="219"/>
      <c r="F45" s="219"/>
      <c r="G45" s="219"/>
      <c r="H45" s="219"/>
      <c r="I45" s="219"/>
      <c r="J45" s="219"/>
      <c r="K45" s="219"/>
      <c r="L45" s="219"/>
      <c r="M45" s="219"/>
      <c r="N45" s="219"/>
      <c r="O45" s="271"/>
      <c r="P45" s="219"/>
      <c r="Q45" s="272"/>
      <c r="R45" s="272"/>
      <c r="S45" s="272"/>
      <c r="T45" s="27"/>
      <c r="U45" s="27"/>
      <c r="V45" s="27"/>
      <c r="W45" s="27"/>
      <c r="X45" s="27"/>
    </row>
    <row r="46" spans="1:24" s="64" customFormat="1" ht="15" customHeight="1" x14ac:dyDescent="0.25">
      <c r="A46" s="24"/>
      <c r="B46" s="521" t="s">
        <v>287</v>
      </c>
      <c r="C46" s="596"/>
      <c r="D46" s="596"/>
      <c r="E46" s="596"/>
      <c r="F46" s="596"/>
      <c r="G46" s="596"/>
      <c r="H46" s="596"/>
      <c r="I46" s="521" t="s">
        <v>288</v>
      </c>
      <c r="J46" s="596"/>
      <c r="K46" s="596"/>
      <c r="L46" s="596"/>
      <c r="M46" s="596"/>
      <c r="N46" s="596"/>
      <c r="O46" s="523" t="s">
        <v>289</v>
      </c>
      <c r="P46" s="524"/>
      <c r="Q46" s="524"/>
      <c r="R46" s="524"/>
      <c r="S46" s="525"/>
      <c r="T46" s="523" t="s">
        <v>74</v>
      </c>
      <c r="U46" s="524"/>
      <c r="V46" s="524"/>
      <c r="W46" s="524"/>
      <c r="X46" s="525"/>
    </row>
    <row r="47" spans="1:24" s="64" customFormat="1" ht="15" customHeight="1" thickBot="1" x14ac:dyDescent="0.3">
      <c r="A47" s="24"/>
      <c r="B47" s="664"/>
      <c r="C47" s="664"/>
      <c r="D47" s="664"/>
      <c r="E47" s="664"/>
      <c r="F47" s="664"/>
      <c r="G47" s="664"/>
      <c r="H47" s="664"/>
      <c r="I47" s="664"/>
      <c r="J47" s="664"/>
      <c r="K47" s="664"/>
      <c r="L47" s="664"/>
      <c r="M47" s="664"/>
      <c r="N47" s="664"/>
      <c r="O47" s="526"/>
      <c r="P47" s="527"/>
      <c r="Q47" s="527"/>
      <c r="R47" s="527"/>
      <c r="S47" s="528"/>
      <c r="T47" s="526"/>
      <c r="U47" s="527"/>
      <c r="V47" s="527"/>
      <c r="W47" s="527"/>
      <c r="X47" s="528"/>
    </row>
    <row r="48" spans="1:24" s="64" customFormat="1" ht="15" customHeight="1" thickTop="1" x14ac:dyDescent="0.25">
      <c r="A48" s="24"/>
      <c r="B48" s="665">
        <f>'PENGOLAHAN DATA'!C57</f>
        <v>3</v>
      </c>
      <c r="C48" s="665"/>
      <c r="D48" s="665"/>
      <c r="E48" s="665"/>
      <c r="F48" s="665"/>
      <c r="G48" s="665"/>
      <c r="H48" s="665"/>
      <c r="I48" s="666">
        <f>'PENGOLAHAN DATA'!C61</f>
        <v>3</v>
      </c>
      <c r="J48" s="666"/>
      <c r="K48" s="666"/>
      <c r="L48" s="666"/>
      <c r="M48" s="666"/>
      <c r="N48" s="666"/>
      <c r="O48" s="667">
        <f>'PENGOLAHAN DATA'!F61</f>
        <v>0</v>
      </c>
      <c r="P48" s="667"/>
      <c r="Q48" s="667"/>
      <c r="R48" s="667"/>
      <c r="S48" s="667"/>
      <c r="T48" s="507" t="str">
        <f>IF(B42=121,'LEMBAR KERJA'!T68,'LEMBAR KERJA'!T69)</f>
        <v>≥ 3 menit</v>
      </c>
      <c r="U48" s="668"/>
      <c r="V48" s="668"/>
      <c r="W48" s="668"/>
      <c r="X48" s="668"/>
    </row>
    <row r="49" spans="1:24" s="64" customFormat="1" ht="15" customHeight="1" x14ac:dyDescent="0.25">
      <c r="A49" s="24"/>
      <c r="B49" s="593" t="s">
        <v>286</v>
      </c>
      <c r="C49" s="594"/>
      <c r="D49" s="594"/>
      <c r="E49" s="594"/>
      <c r="F49" s="594"/>
      <c r="G49" s="594"/>
      <c r="H49" s="594"/>
      <c r="I49" s="594"/>
      <c r="J49" s="594"/>
      <c r="K49" s="594"/>
      <c r="L49" s="594"/>
      <c r="M49" s="594"/>
      <c r="N49" s="195" t="s">
        <v>120</v>
      </c>
      <c r="O49" s="270">
        <f>'PENGOLAHAN DATA'!I61</f>
        <v>0</v>
      </c>
      <c r="P49" s="661" t="s">
        <v>41</v>
      </c>
      <c r="Q49" s="661"/>
      <c r="R49" s="661"/>
      <c r="S49" s="661"/>
      <c r="T49" s="661"/>
      <c r="U49" s="661"/>
      <c r="V49" s="661"/>
      <c r="W49" s="661"/>
      <c r="X49" s="662"/>
    </row>
    <row r="50" spans="1:24" s="64" customFormat="1" ht="15" customHeight="1" x14ac:dyDescent="0.3">
      <c r="B50" s="66"/>
      <c r="C50" s="266"/>
      <c r="D50" s="53"/>
      <c r="E50" s="53"/>
      <c r="F50" s="53"/>
      <c r="G50" s="53"/>
      <c r="H50" s="53"/>
      <c r="I50" s="53"/>
      <c r="J50" s="53"/>
      <c r="K50" s="53"/>
      <c r="L50" s="53"/>
      <c r="M50" s="53"/>
      <c r="N50" s="53"/>
      <c r="O50" s="267"/>
      <c r="P50" s="267"/>
      <c r="Q50" s="267"/>
      <c r="R50" s="167"/>
      <c r="S50" s="167"/>
      <c r="T50" s="167"/>
      <c r="U50" s="66"/>
      <c r="V50" s="66"/>
      <c r="W50" s="66"/>
      <c r="X50" s="167"/>
    </row>
    <row r="51" spans="1:24" s="64" customFormat="1" ht="15" customHeight="1" x14ac:dyDescent="0.3">
      <c r="A51" s="46">
        <v>8</v>
      </c>
      <c r="B51" s="65" t="s">
        <v>127</v>
      </c>
      <c r="H51" s="53"/>
      <c r="I51" s="53"/>
      <c r="J51" s="53"/>
      <c r="K51" s="53"/>
      <c r="L51" s="53"/>
      <c r="M51" s="53"/>
      <c r="N51" s="53"/>
      <c r="O51" s="267"/>
      <c r="P51" s="267"/>
      <c r="Q51" s="267"/>
      <c r="R51" s="167"/>
      <c r="S51" s="167"/>
      <c r="T51" s="167"/>
      <c r="U51" s="66"/>
      <c r="V51" s="66"/>
      <c r="W51" s="66"/>
      <c r="X51" s="167"/>
    </row>
    <row r="52" spans="1:24" s="64" customFormat="1" ht="15" customHeight="1" x14ac:dyDescent="0.3">
      <c r="B52" s="64" t="str">
        <f>IF('PENGOLAHAN DATA'!K70&gt;=90,"DINYATAKAN LAIK PAKAI","DINYATAKAN TIDAK LAIK PAKAI")</f>
        <v>DINYATAKAN TIDAK LAIK PAKAI</v>
      </c>
      <c r="H52" s="53"/>
      <c r="I52" s="53"/>
      <c r="J52" s="53"/>
      <c r="K52" s="53"/>
      <c r="L52" s="53"/>
      <c r="M52" s="53"/>
      <c r="N52" s="53"/>
      <c r="O52" s="267"/>
      <c r="P52" s="267"/>
      <c r="Q52" s="267"/>
      <c r="R52" s="167"/>
      <c r="S52" s="167"/>
      <c r="T52" s="167"/>
      <c r="U52" s="66"/>
      <c r="V52" s="66"/>
      <c r="W52" s="66"/>
      <c r="X52" s="167"/>
    </row>
    <row r="53" spans="1:24" s="64" customFormat="1" ht="15" customHeight="1" x14ac:dyDescent="0.3">
      <c r="B53" s="66"/>
      <c r="C53" s="266"/>
      <c r="D53" s="53"/>
      <c r="E53" s="53"/>
      <c r="F53" s="53"/>
      <c r="G53" s="53"/>
      <c r="H53" s="53"/>
      <c r="I53" s="53"/>
      <c r="J53" s="53"/>
      <c r="K53" s="53"/>
      <c r="L53" s="53"/>
      <c r="M53" s="53"/>
      <c r="N53" s="53"/>
      <c r="O53" s="267"/>
      <c r="P53" s="267"/>
      <c r="Q53" s="267"/>
      <c r="R53" s="167"/>
      <c r="S53" s="167"/>
      <c r="T53" s="167"/>
      <c r="U53" s="66"/>
      <c r="V53" s="66"/>
      <c r="W53" s="66"/>
      <c r="X53" s="167"/>
    </row>
    <row r="54" spans="1:24" s="64" customFormat="1" ht="15" customHeight="1" x14ac:dyDescent="0.3">
      <c r="A54" s="46">
        <v>9</v>
      </c>
      <c r="B54" s="63" t="s">
        <v>128</v>
      </c>
      <c r="C54" s="53"/>
      <c r="D54" s="63"/>
      <c r="E54" s="53"/>
      <c r="F54" s="53"/>
      <c r="G54" s="53"/>
      <c r="H54" s="63"/>
      <c r="I54" s="53"/>
      <c r="J54" s="53"/>
      <c r="K54" s="63"/>
      <c r="L54" s="53"/>
      <c r="M54" s="53"/>
      <c r="N54" s="53"/>
      <c r="O54" s="53"/>
      <c r="P54" s="53"/>
      <c r="Q54" s="53"/>
      <c r="R54" s="53"/>
      <c r="S54" s="53"/>
      <c r="T54" s="53"/>
      <c r="U54" s="53"/>
      <c r="V54" s="79"/>
      <c r="W54" s="79"/>
      <c r="X54" s="79"/>
    </row>
    <row r="55" spans="1:24" s="64" customFormat="1" ht="42" customHeight="1" x14ac:dyDescent="0.3">
      <c r="B55" s="150" t="s">
        <v>4</v>
      </c>
      <c r="C55" s="733" t="s">
        <v>336</v>
      </c>
      <c r="D55" s="733"/>
      <c r="E55" s="733"/>
      <c r="F55" s="733"/>
      <c r="G55" s="733"/>
      <c r="H55" s="733"/>
      <c r="I55" s="733"/>
      <c r="J55" s="733"/>
      <c r="K55" s="733"/>
      <c r="L55" s="733"/>
      <c r="M55" s="733"/>
      <c r="N55" s="733"/>
      <c r="O55" s="733"/>
      <c r="P55" s="733"/>
      <c r="Q55" s="733"/>
      <c r="R55" s="733"/>
      <c r="S55" s="733"/>
      <c r="T55" s="733"/>
      <c r="U55" s="733"/>
      <c r="V55" s="733"/>
      <c r="W55" s="733"/>
      <c r="X55" s="733"/>
    </row>
    <row r="56" spans="1:24" s="64" customFormat="1" ht="15" customHeight="1" x14ac:dyDescent="0.3">
      <c r="B56" s="80" t="s">
        <v>8</v>
      </c>
      <c r="C56" s="53" t="s">
        <v>175</v>
      </c>
      <c r="D56" s="53"/>
      <c r="E56" s="53"/>
      <c r="F56" s="53"/>
      <c r="G56" s="53"/>
      <c r="H56" s="53"/>
      <c r="I56" s="53"/>
      <c r="J56" s="53"/>
      <c r="K56" s="53"/>
      <c r="L56" s="53"/>
      <c r="M56" s="53"/>
      <c r="N56" s="53"/>
      <c r="O56" s="53"/>
      <c r="P56" s="53"/>
      <c r="Q56" s="53"/>
      <c r="R56" s="53"/>
      <c r="S56" s="53"/>
      <c r="T56" s="53"/>
      <c r="U56" s="53"/>
      <c r="V56" s="79"/>
      <c r="W56" s="79"/>
      <c r="X56" s="79"/>
    </row>
    <row r="57" spans="1:24" s="64" customFormat="1" ht="15" customHeight="1" x14ac:dyDescent="0.3">
      <c r="A57" s="46"/>
      <c r="B57" s="80" t="s">
        <v>10</v>
      </c>
      <c r="C57" s="13" t="s">
        <v>294</v>
      </c>
      <c r="R57" s="53"/>
      <c r="S57" s="53"/>
      <c r="T57" s="53"/>
      <c r="U57" s="53"/>
      <c r="V57" s="79"/>
      <c r="W57" s="79"/>
      <c r="X57" s="79"/>
    </row>
    <row r="58" spans="1:24" s="64" customFormat="1" ht="15" customHeight="1" x14ac:dyDescent="0.3">
      <c r="A58" s="46"/>
      <c r="B58" s="80" t="s">
        <v>14</v>
      </c>
      <c r="C58" s="64" t="s">
        <v>295</v>
      </c>
      <c r="X58" s="79"/>
    </row>
    <row r="59" spans="1:24" s="64" customFormat="1" ht="15" customHeight="1" thickBot="1" x14ac:dyDescent="0.35">
      <c r="A59" s="81"/>
      <c r="B59" s="734"/>
      <c r="C59" s="81"/>
      <c r="D59" s="81"/>
      <c r="E59" s="81"/>
      <c r="F59" s="81"/>
      <c r="G59" s="81"/>
      <c r="H59" s="81"/>
      <c r="I59" s="81"/>
      <c r="J59" s="81"/>
      <c r="K59" s="81"/>
      <c r="L59" s="81"/>
      <c r="M59" s="81"/>
      <c r="N59" s="81"/>
      <c r="O59" s="81"/>
      <c r="P59" s="81"/>
      <c r="Q59" s="81"/>
      <c r="R59" s="81"/>
      <c r="S59" s="81"/>
      <c r="T59" s="81"/>
      <c r="U59" s="81"/>
      <c r="V59" s="81"/>
      <c r="W59" s="81"/>
      <c r="X59" s="158"/>
    </row>
    <row r="60" spans="1:24" s="64" customFormat="1" ht="15" customHeight="1" thickTop="1" x14ac:dyDescent="0.3">
      <c r="A60" s="697" t="s">
        <v>180</v>
      </c>
      <c r="B60" s="697"/>
      <c r="C60" s="697"/>
      <c r="D60" s="697"/>
      <c r="E60" s="697"/>
      <c r="F60" s="697"/>
      <c r="G60" s="697"/>
      <c r="H60" s="697"/>
      <c r="I60" s="697"/>
      <c r="J60" s="697"/>
      <c r="K60" s="697"/>
      <c r="L60" s="697"/>
      <c r="M60" s="697"/>
      <c r="N60" s="697"/>
      <c r="O60" s="697"/>
      <c r="P60" s="697"/>
      <c r="Q60" s="697"/>
      <c r="R60" s="697"/>
      <c r="S60" s="697"/>
      <c r="T60" s="697"/>
      <c r="U60" s="697"/>
      <c r="V60" s="697"/>
      <c r="W60" s="697"/>
      <c r="X60" s="697"/>
    </row>
    <row r="61" spans="1:24" s="64" customFormat="1" ht="15" customHeight="1" x14ac:dyDescent="0.3">
      <c r="A61" s="41"/>
      <c r="B61" s="696"/>
      <c r="C61" s="696"/>
      <c r="D61" s="696"/>
      <c r="E61" s="696"/>
      <c r="F61" s="696"/>
      <c r="G61" s="696"/>
      <c r="H61" s="696"/>
      <c r="I61" s="696"/>
      <c r="J61" s="696"/>
      <c r="K61" s="696"/>
      <c r="L61" s="696"/>
      <c r="M61" s="696"/>
      <c r="N61" s="696"/>
      <c r="O61" s="696"/>
      <c r="P61" s="696"/>
      <c r="Q61" s="696"/>
      <c r="R61" s="696"/>
      <c r="S61" s="696"/>
      <c r="T61" s="696"/>
      <c r="U61" s="696"/>
      <c r="V61" s="696"/>
      <c r="W61" s="696"/>
      <c r="X61" s="696"/>
    </row>
    <row r="62" spans="1:24" s="64" customFormat="1" ht="15" customHeight="1" x14ac:dyDescent="0.3"/>
    <row r="63" spans="1:24" s="64" customFormat="1" ht="15" customHeight="1" x14ac:dyDescent="0.3">
      <c r="A63" s="41"/>
      <c r="B63" s="41"/>
      <c r="C63" s="41"/>
      <c r="D63" s="41"/>
      <c r="E63" s="41"/>
      <c r="F63" s="41"/>
      <c r="G63" s="41"/>
      <c r="H63" s="41"/>
      <c r="I63" s="41"/>
      <c r="J63" s="41"/>
      <c r="K63" s="41"/>
      <c r="L63" s="41"/>
      <c r="M63" s="41"/>
      <c r="N63" s="41"/>
      <c r="O63" s="41"/>
      <c r="P63" s="41"/>
      <c r="Q63" s="41"/>
      <c r="R63" s="41"/>
      <c r="S63" s="41"/>
      <c r="T63" s="41"/>
      <c r="U63" s="41"/>
      <c r="V63" s="41"/>
      <c r="W63" s="41"/>
      <c r="X63" s="41"/>
    </row>
    <row r="64" spans="1:24" s="64" customFormat="1" ht="45" customHeight="1" x14ac:dyDescent="0.3">
      <c r="A64" s="41"/>
      <c r="B64" s="41"/>
      <c r="C64" s="41"/>
      <c r="D64" s="41"/>
      <c r="E64" s="41"/>
      <c r="F64" s="41"/>
      <c r="G64" s="41"/>
      <c r="H64" s="41"/>
      <c r="I64" s="41"/>
      <c r="J64" s="41"/>
      <c r="K64" s="41"/>
      <c r="L64" s="41"/>
      <c r="M64" s="41"/>
      <c r="N64" s="41"/>
      <c r="O64" s="41"/>
      <c r="P64" s="41"/>
      <c r="Q64" s="41"/>
      <c r="R64" s="41"/>
      <c r="S64" s="41"/>
      <c r="T64" s="41"/>
      <c r="U64" s="41"/>
      <c r="V64" s="41"/>
      <c r="W64" s="41"/>
      <c r="X64" s="41"/>
    </row>
    <row r="65" spans="1:27" s="64" customFormat="1" ht="15" customHeight="1" x14ac:dyDescent="0.3">
      <c r="A65" s="41"/>
      <c r="B65" s="41"/>
      <c r="C65" s="41"/>
      <c r="D65" s="41"/>
      <c r="E65" s="41"/>
      <c r="F65" s="41"/>
      <c r="G65" s="41"/>
      <c r="H65" s="41"/>
      <c r="I65" s="41"/>
      <c r="J65" s="41"/>
      <c r="K65" s="41"/>
      <c r="L65" s="41"/>
      <c r="M65" s="41"/>
      <c r="N65" s="41"/>
      <c r="O65" s="41"/>
      <c r="P65" s="41"/>
      <c r="Q65" s="41"/>
      <c r="R65" s="41"/>
      <c r="S65" s="41"/>
      <c r="T65" s="41"/>
      <c r="U65" s="41"/>
      <c r="V65" s="41"/>
      <c r="W65" s="41"/>
      <c r="X65" s="41"/>
    </row>
    <row r="66" spans="1:27" s="64" customFormat="1" ht="15" customHeight="1" x14ac:dyDescent="0.3">
      <c r="A66" s="41"/>
      <c r="B66" s="41"/>
      <c r="C66" s="41"/>
      <c r="D66" s="41"/>
      <c r="E66" s="41"/>
      <c r="F66" s="41"/>
      <c r="G66" s="41"/>
      <c r="H66" s="41"/>
      <c r="I66" s="41"/>
      <c r="J66" s="41"/>
      <c r="K66" s="41"/>
      <c r="L66" s="41"/>
      <c r="M66" s="41"/>
      <c r="N66" s="41"/>
      <c r="O66" s="41"/>
      <c r="P66" s="41"/>
      <c r="Q66" s="41"/>
      <c r="R66" s="41"/>
      <c r="S66" s="41"/>
      <c r="T66" s="41"/>
      <c r="U66" s="41"/>
      <c r="V66" s="41"/>
      <c r="W66" s="41"/>
      <c r="X66" s="41"/>
    </row>
    <row r="67" spans="1:27" s="64" customFormat="1" x14ac:dyDescent="0.3">
      <c r="A67" s="41"/>
      <c r="B67" s="41"/>
      <c r="C67" s="41"/>
      <c r="D67" s="41"/>
      <c r="E67" s="41"/>
      <c r="F67" s="41"/>
      <c r="G67" s="41"/>
      <c r="H67" s="41"/>
      <c r="I67" s="41"/>
      <c r="J67" s="41"/>
      <c r="K67" s="41"/>
      <c r="L67" s="41"/>
      <c r="M67" s="41"/>
      <c r="N67" s="41"/>
      <c r="O67" s="41"/>
      <c r="P67" s="41"/>
      <c r="Q67" s="41"/>
      <c r="R67" s="41"/>
      <c r="S67" s="41"/>
      <c r="T67" s="41"/>
      <c r="U67" s="41"/>
      <c r="V67" s="41"/>
      <c r="W67" s="41"/>
      <c r="X67" s="41"/>
    </row>
    <row r="68" spans="1:27" s="64" customFormat="1" ht="15" customHeight="1" x14ac:dyDescent="0.3">
      <c r="A68" s="41"/>
      <c r="B68" s="41"/>
      <c r="C68" s="41"/>
      <c r="D68" s="41"/>
      <c r="E68" s="41"/>
      <c r="F68" s="41"/>
      <c r="G68" s="41"/>
      <c r="H68" s="41"/>
      <c r="I68" s="41"/>
      <c r="J68" s="41"/>
      <c r="K68" s="41"/>
      <c r="L68" s="41"/>
      <c r="M68" s="41"/>
      <c r="N68" s="41"/>
      <c r="O68" s="41"/>
      <c r="P68" s="41"/>
      <c r="Q68" s="41"/>
      <c r="R68" s="41"/>
      <c r="S68" s="41"/>
      <c r="T68" s="41"/>
      <c r="U68" s="41"/>
      <c r="V68" s="41"/>
      <c r="W68" s="41"/>
      <c r="X68" s="41"/>
    </row>
    <row r="69" spans="1:27" s="64" customFormat="1" ht="15" customHeight="1" x14ac:dyDescent="0.3">
      <c r="A69" s="41"/>
      <c r="B69" s="41"/>
      <c r="C69" s="41"/>
      <c r="D69" s="41"/>
      <c r="E69" s="41"/>
      <c r="F69" s="41"/>
      <c r="G69" s="41"/>
      <c r="H69" s="41"/>
      <c r="I69" s="41"/>
      <c r="J69" s="41"/>
      <c r="K69" s="41"/>
      <c r="L69" s="41"/>
      <c r="M69" s="41"/>
      <c r="N69" s="41"/>
      <c r="O69" s="41"/>
      <c r="P69" s="41"/>
      <c r="Q69" s="41"/>
      <c r="R69" s="41"/>
      <c r="S69" s="41"/>
      <c r="T69" s="41"/>
      <c r="U69" s="41"/>
      <c r="V69" s="41"/>
      <c r="W69" s="41"/>
      <c r="X69" s="41"/>
    </row>
    <row r="70" spans="1:27" s="64" customFormat="1" ht="15" customHeight="1" x14ac:dyDescent="0.3">
      <c r="A70" s="156"/>
      <c r="B70" s="156"/>
      <c r="C70" s="156"/>
      <c r="D70" s="157"/>
      <c r="E70" s="157"/>
      <c r="F70" s="157"/>
      <c r="G70" s="157"/>
      <c r="H70" s="157"/>
      <c r="I70" s="157"/>
      <c r="J70" s="157"/>
      <c r="K70" s="157"/>
      <c r="L70" s="157"/>
      <c r="M70" s="157"/>
      <c r="N70" s="41"/>
      <c r="O70" s="41"/>
      <c r="P70" s="41"/>
      <c r="Q70" s="41"/>
      <c r="R70" s="41"/>
      <c r="S70" s="41"/>
      <c r="T70" s="41"/>
      <c r="U70" s="41"/>
      <c r="V70" s="41"/>
      <c r="W70" s="41"/>
      <c r="X70" s="41"/>
    </row>
    <row r="71" spans="1:27" s="64" customFormat="1" ht="15" customHeight="1" x14ac:dyDescent="0.3">
      <c r="A71" s="41"/>
      <c r="B71" s="75"/>
      <c r="C71" s="41"/>
      <c r="D71" s="41"/>
      <c r="E71" s="41"/>
      <c r="F71" s="41"/>
      <c r="G71" s="41"/>
      <c r="H71" s="41"/>
      <c r="I71" s="41"/>
      <c r="J71" s="41"/>
      <c r="K71" s="41"/>
      <c r="L71" s="41"/>
      <c r="M71" s="41"/>
      <c r="N71" s="41"/>
      <c r="O71" s="41"/>
      <c r="P71" s="41"/>
      <c r="Q71" s="41"/>
      <c r="R71" s="41"/>
      <c r="S71" s="41"/>
      <c r="T71" s="41"/>
      <c r="U71" s="41"/>
      <c r="V71" s="41"/>
      <c r="W71" s="41"/>
      <c r="X71" s="41"/>
    </row>
    <row r="72" spans="1:27" ht="44.55" customHeight="1" x14ac:dyDescent="0.3">
      <c r="Y72" s="64"/>
      <c r="Z72" s="64"/>
      <c r="AA72" s="64"/>
    </row>
    <row r="73" spans="1:27" ht="15" customHeight="1" x14ac:dyDescent="0.3">
      <c r="Y73" s="64"/>
      <c r="Z73" s="64"/>
      <c r="AA73" s="64"/>
    </row>
    <row r="74" spans="1:27" x14ac:dyDescent="0.3">
      <c r="Y74" s="64"/>
      <c r="Z74" s="64"/>
      <c r="AA74" s="64"/>
    </row>
    <row r="75" spans="1:27" x14ac:dyDescent="0.3">
      <c r="Y75" s="64"/>
      <c r="Z75" s="64"/>
      <c r="AA75" s="64"/>
    </row>
    <row r="76" spans="1:27" x14ac:dyDescent="0.3">
      <c r="Y76" s="64"/>
      <c r="Z76" s="64"/>
      <c r="AA76" s="64"/>
    </row>
    <row r="77" spans="1:27" x14ac:dyDescent="0.3">
      <c r="Y77" s="64"/>
      <c r="Z77" s="64"/>
      <c r="AA77" s="64"/>
    </row>
    <row r="78" spans="1:27" x14ac:dyDescent="0.3">
      <c r="Y78" s="64"/>
      <c r="Z78" s="64"/>
      <c r="AA78" s="64"/>
    </row>
    <row r="80" spans="1:27" ht="15" customHeight="1" x14ac:dyDescent="0.3"/>
  </sheetData>
  <mergeCells count="99">
    <mergeCell ref="U36:W36"/>
    <mergeCell ref="B61:X61"/>
    <mergeCell ref="A60:X60"/>
    <mergeCell ref="C55:X55"/>
    <mergeCell ref="B40:H40"/>
    <mergeCell ref="I40:N40"/>
    <mergeCell ref="O40:S40"/>
    <mergeCell ref="T40:X41"/>
    <mergeCell ref="B41:H41"/>
    <mergeCell ref="I41:N41"/>
    <mergeCell ref="O41:S41"/>
    <mergeCell ref="B42:H42"/>
    <mergeCell ref="I42:N42"/>
    <mergeCell ref="O42:S42"/>
    <mergeCell ref="T42:X42"/>
    <mergeCell ref="B43:M43"/>
    <mergeCell ref="P43:X43"/>
    <mergeCell ref="AA21:AP21"/>
    <mergeCell ref="U34:W34"/>
    <mergeCell ref="C35:N35"/>
    <mergeCell ref="O35:Q35"/>
    <mergeCell ref="R35:S35"/>
    <mergeCell ref="U35:W35"/>
    <mergeCell ref="O33:Q33"/>
    <mergeCell ref="R33:S33"/>
    <mergeCell ref="C34:N34"/>
    <mergeCell ref="O34:Q34"/>
    <mergeCell ref="R34:S34"/>
    <mergeCell ref="J24:N24"/>
    <mergeCell ref="U33:W33"/>
    <mergeCell ref="C32:N32"/>
    <mergeCell ref="C33:N33"/>
    <mergeCell ref="C28:I28"/>
    <mergeCell ref="J28:N28"/>
    <mergeCell ref="C29:I29"/>
    <mergeCell ref="J29:N29"/>
    <mergeCell ref="AA22:AP22"/>
    <mergeCell ref="C27:I27"/>
    <mergeCell ref="J27:N27"/>
    <mergeCell ref="C25:I25"/>
    <mergeCell ref="J25:N25"/>
    <mergeCell ref="O32:S32"/>
    <mergeCell ref="T32:X32"/>
    <mergeCell ref="C26:I26"/>
    <mergeCell ref="J26:N26"/>
    <mergeCell ref="B13:F13"/>
    <mergeCell ref="C17:H17"/>
    <mergeCell ref="I17:L17"/>
    <mergeCell ref="M17:P17"/>
    <mergeCell ref="U20:X20"/>
    <mergeCell ref="Q17:T17"/>
    <mergeCell ref="I18:L18"/>
    <mergeCell ref="U18:X18"/>
    <mergeCell ref="C19:H19"/>
    <mergeCell ref="I19:L19"/>
    <mergeCell ref="M19:P19"/>
    <mergeCell ref="Q19:T19"/>
    <mergeCell ref="U19:X19"/>
    <mergeCell ref="M18:P18"/>
    <mergeCell ref="Q18:T18"/>
    <mergeCell ref="U17:X17"/>
    <mergeCell ref="C18:H18"/>
    <mergeCell ref="B8:F8"/>
    <mergeCell ref="B9:F9"/>
    <mergeCell ref="B4:F4"/>
    <mergeCell ref="G4:N4"/>
    <mergeCell ref="B7:F7"/>
    <mergeCell ref="C20:H20"/>
    <mergeCell ref="I20:L20"/>
    <mergeCell ref="M20:P20"/>
    <mergeCell ref="Q20:T20"/>
    <mergeCell ref="O2:S2"/>
    <mergeCell ref="T2:V2"/>
    <mergeCell ref="B3:F3"/>
    <mergeCell ref="G3:N3"/>
    <mergeCell ref="O3:S3"/>
    <mergeCell ref="U3:V3"/>
    <mergeCell ref="B14:F14"/>
    <mergeCell ref="G14:H14"/>
    <mergeCell ref="J14:L14"/>
    <mergeCell ref="B12:F12"/>
    <mergeCell ref="B2:F2"/>
    <mergeCell ref="G2:N2"/>
    <mergeCell ref="B49:M49"/>
    <mergeCell ref="P49:X49"/>
    <mergeCell ref="C23:I23"/>
    <mergeCell ref="J23:N23"/>
    <mergeCell ref="C24:I24"/>
    <mergeCell ref="B46:H47"/>
    <mergeCell ref="I46:N47"/>
    <mergeCell ref="O46:S47"/>
    <mergeCell ref="T46:X47"/>
    <mergeCell ref="B48:H48"/>
    <mergeCell ref="I48:N48"/>
    <mergeCell ref="O48:S48"/>
    <mergeCell ref="T48:X48"/>
    <mergeCell ref="C36:N36"/>
    <mergeCell ref="O36:Q36"/>
    <mergeCell ref="R36:S36"/>
  </mergeCells>
  <phoneticPr fontId="13" type="noConversion"/>
  <pageMargins left="0.7" right="0.7" top="1.3" bottom="0" header="0.72" footer="0.46"/>
  <pageSetup paperSize="9" scale="79" fitToHeight="0" orientation="portrait" horizontalDpi="4294967293" r:id="rId1"/>
  <headerFooter>
    <oddFooter>&amp;R&amp;"Arial,Bold"Halaman&amp;"Arial,Regular" &amp;P+1 &amp;"Arial,Bold"dari&amp;"Arial,Regular" 3</oddFooter>
  </headerFooter>
  <rowBreaks count="1" manualBreakCount="1">
    <brk id="44" min="2" max="23" man="1"/>
  </rowBreaks>
  <colBreaks count="1" manualBreakCount="1">
    <brk id="24" max="1048575" man="1"/>
  </col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708BA-C06B-4566-BAFB-7B05DC1E9AA5}">
  <dimension ref="A1:J69"/>
  <sheetViews>
    <sheetView topLeftCell="A21" zoomScale="82" zoomScaleNormal="100" workbookViewId="0">
      <selection activeCell="F29" sqref="F29"/>
    </sheetView>
  </sheetViews>
  <sheetFormatPr defaultColWidth="10.21875" defaultRowHeight="14.4" x14ac:dyDescent="0.3"/>
  <cols>
    <col min="2" max="2" width="18.77734375" customWidth="1"/>
    <col min="3" max="3" width="12.6640625" bestFit="1" customWidth="1"/>
    <col min="4" max="4" width="15.21875" customWidth="1"/>
    <col min="5" max="5" width="16" bestFit="1" customWidth="1"/>
    <col min="6" max="6" width="18.21875" customWidth="1"/>
    <col min="7" max="7" width="12.44140625" bestFit="1" customWidth="1"/>
    <col min="8" max="8" width="12.77734375" customWidth="1"/>
    <col min="9" max="9" width="20.77734375" bestFit="1" customWidth="1"/>
  </cols>
  <sheetData>
    <row r="1" spans="1:8" ht="15.75" customHeight="1" x14ac:dyDescent="0.3">
      <c r="A1" s="701" t="str">
        <f>'[4]Sert. Tachometer'!A1:E1</f>
        <v xml:space="preserve">HASIL REKALIBRASI </v>
      </c>
      <c r="B1" s="701"/>
      <c r="C1" s="701"/>
      <c r="D1" s="701"/>
      <c r="E1" s="701"/>
      <c r="F1" s="701"/>
      <c r="G1" s="701"/>
      <c r="H1" s="701"/>
    </row>
    <row r="2" spans="1:8" x14ac:dyDescent="0.3">
      <c r="A2" s="701"/>
      <c r="B2" s="701"/>
      <c r="C2" s="701"/>
      <c r="D2" s="701"/>
      <c r="E2" s="701"/>
      <c r="F2" s="701"/>
      <c r="G2" s="701"/>
      <c r="H2" s="701"/>
    </row>
    <row r="3" spans="1:8" x14ac:dyDescent="0.3">
      <c r="A3" s="701"/>
      <c r="B3" s="701"/>
      <c r="C3" s="701"/>
      <c r="D3" s="701"/>
      <c r="E3" s="701"/>
      <c r="F3" s="701"/>
      <c r="G3" s="701"/>
      <c r="H3" s="701"/>
    </row>
    <row r="4" spans="1:8" x14ac:dyDescent="0.3">
      <c r="A4" s="25" t="s">
        <v>28</v>
      </c>
      <c r="B4" s="25"/>
      <c r="C4" s="25"/>
      <c r="D4" s="25" t="s">
        <v>6</v>
      </c>
      <c r="E4" s="213" t="s">
        <v>337</v>
      </c>
      <c r="F4" s="25"/>
      <c r="G4" s="25"/>
      <c r="H4" s="25"/>
    </row>
    <row r="5" spans="1:8" x14ac:dyDescent="0.3">
      <c r="A5" s="25" t="s">
        <v>11</v>
      </c>
      <c r="B5" s="25"/>
      <c r="C5" s="25"/>
      <c r="D5" s="25" t="s">
        <v>6</v>
      </c>
      <c r="E5" s="213" t="s">
        <v>338</v>
      </c>
      <c r="F5" s="25"/>
      <c r="G5" s="25"/>
      <c r="H5" s="25"/>
    </row>
    <row r="6" spans="1:8" x14ac:dyDescent="0.3">
      <c r="A6" s="25" t="s">
        <v>144</v>
      </c>
      <c r="B6" s="25"/>
      <c r="C6" s="25"/>
      <c r="D6" s="25" t="s">
        <v>6</v>
      </c>
      <c r="E6" s="214" t="s">
        <v>339</v>
      </c>
      <c r="F6" s="25"/>
      <c r="G6" s="25"/>
      <c r="H6" s="25"/>
    </row>
    <row r="7" spans="1:8" x14ac:dyDescent="0.3">
      <c r="A7" s="25" t="s">
        <v>18</v>
      </c>
      <c r="B7" s="25"/>
      <c r="C7" s="25"/>
      <c r="D7" s="25" t="s">
        <v>6</v>
      </c>
      <c r="E7" s="273" t="s">
        <v>340</v>
      </c>
      <c r="F7" s="25"/>
      <c r="G7" s="25"/>
      <c r="H7" s="25"/>
    </row>
    <row r="8" spans="1:8" x14ac:dyDescent="0.3">
      <c r="A8" s="25" t="s">
        <v>244</v>
      </c>
      <c r="B8" s="25"/>
      <c r="C8" s="25"/>
      <c r="D8" s="25" t="s">
        <v>6</v>
      </c>
      <c r="E8" s="215" t="s">
        <v>343</v>
      </c>
      <c r="F8" s="25"/>
      <c r="G8" s="25"/>
      <c r="H8" s="25"/>
    </row>
    <row r="9" spans="1:8" x14ac:dyDescent="0.3">
      <c r="A9" s="25" t="s">
        <v>245</v>
      </c>
      <c r="B9" s="25"/>
      <c r="C9" s="25"/>
      <c r="D9" s="25" t="s">
        <v>6</v>
      </c>
      <c r="E9" s="702" t="s">
        <v>342</v>
      </c>
      <c r="F9" s="702"/>
      <c r="G9" s="25"/>
      <c r="H9" s="25"/>
    </row>
    <row r="10" spans="1:8" s="212" customFormat="1" x14ac:dyDescent="0.3">
      <c r="A10" s="25" t="s">
        <v>163</v>
      </c>
      <c r="B10" s="25"/>
      <c r="C10" s="77"/>
      <c r="D10" s="40" t="s">
        <v>6</v>
      </c>
      <c r="E10" s="25" t="s">
        <v>341</v>
      </c>
      <c r="F10" s="25"/>
      <c r="G10" s="25"/>
      <c r="H10" s="25"/>
    </row>
    <row r="11" spans="1:8" s="212" customFormat="1" x14ac:dyDescent="0.3">
      <c r="A11" s="25"/>
      <c r="B11" s="25"/>
      <c r="C11" s="25"/>
      <c r="D11" s="34"/>
      <c r="E11" s="25"/>
      <c r="F11" s="25"/>
      <c r="G11" s="25"/>
      <c r="H11" s="25"/>
    </row>
    <row r="12" spans="1:8" s="212" customFormat="1" x14ac:dyDescent="0.3">
      <c r="A12" s="24" t="s">
        <v>246</v>
      </c>
      <c r="B12" s="25"/>
      <c r="C12" s="25"/>
      <c r="D12" s="70"/>
      <c r="E12" s="25"/>
      <c r="F12" s="25"/>
      <c r="G12" s="25"/>
      <c r="H12" s="25"/>
    </row>
    <row r="13" spans="1:8" s="212" customFormat="1" x14ac:dyDescent="0.3">
      <c r="A13" s="216" t="s">
        <v>27</v>
      </c>
      <c r="B13" s="703" t="s">
        <v>125</v>
      </c>
      <c r="C13" s="703"/>
      <c r="D13" s="703" t="s">
        <v>290</v>
      </c>
      <c r="E13" s="703"/>
      <c r="F13" s="703" t="s">
        <v>126</v>
      </c>
      <c r="G13" s="703"/>
      <c r="H13" s="216" t="s">
        <v>247</v>
      </c>
    </row>
    <row r="14" spans="1:8" s="212" customFormat="1" x14ac:dyDescent="0.3">
      <c r="A14" s="68">
        <v>1</v>
      </c>
      <c r="B14" s="218">
        <v>30</v>
      </c>
      <c r="C14" s="68" t="s">
        <v>248</v>
      </c>
      <c r="D14" s="280">
        <v>29.995000000000001</v>
      </c>
      <c r="E14" s="68" t="str">
        <f t="shared" ref="E14:E15" si="0">$C$14</f>
        <v>°C</v>
      </c>
      <c r="F14" s="218">
        <f>B14-D14</f>
        <v>4.9999999999990052E-3</v>
      </c>
      <c r="G14" s="68" t="str">
        <f t="shared" ref="G14:G15" si="1">$C$14</f>
        <v>°C</v>
      </c>
      <c r="H14" s="116">
        <v>3.9E-2</v>
      </c>
    </row>
    <row r="15" spans="1:8" x14ac:dyDescent="0.3">
      <c r="A15" s="68">
        <v>2</v>
      </c>
      <c r="B15" s="218">
        <v>140.03</v>
      </c>
      <c r="C15" s="68" t="str">
        <f>C14</f>
        <v>°C</v>
      </c>
      <c r="D15" s="280">
        <v>140.03399999999999</v>
      </c>
      <c r="E15" s="68" t="str">
        <f t="shared" si="0"/>
        <v>°C</v>
      </c>
      <c r="F15" s="218">
        <f t="shared" ref="F15" si="2">B15-D15</f>
        <v>-3.9999999999906777E-3</v>
      </c>
      <c r="G15" s="68" t="str">
        <f t="shared" si="1"/>
        <v>°C</v>
      </c>
      <c r="H15" s="116">
        <v>3.5999999999999997E-2</v>
      </c>
    </row>
    <row r="17" spans="1:10" x14ac:dyDescent="0.3">
      <c r="A17" s="25"/>
      <c r="B17" t="s">
        <v>344</v>
      </c>
    </row>
    <row r="18" spans="1:10" ht="15" thickBot="1" x14ac:dyDescent="0.35">
      <c r="A18" s="25"/>
    </row>
    <row r="19" spans="1:10" x14ac:dyDescent="0.3">
      <c r="A19" s="25"/>
      <c r="B19" s="299" t="s">
        <v>345</v>
      </c>
      <c r="C19" s="299"/>
    </row>
    <row r="20" spans="1:10" x14ac:dyDescent="0.3">
      <c r="A20" s="25"/>
      <c r="B20" t="s">
        <v>346</v>
      </c>
      <c r="C20">
        <v>1</v>
      </c>
    </row>
    <row r="21" spans="1:10" x14ac:dyDescent="0.3">
      <c r="A21" s="25"/>
      <c r="B21" t="s">
        <v>347</v>
      </c>
      <c r="C21">
        <v>1</v>
      </c>
    </row>
    <row r="22" spans="1:10" x14ac:dyDescent="0.3">
      <c r="A22" s="25"/>
      <c r="B22" t="s">
        <v>348</v>
      </c>
      <c r="C22">
        <v>65535</v>
      </c>
    </row>
    <row r="23" spans="1:10" x14ac:dyDescent="0.3">
      <c r="A23" s="34"/>
      <c r="B23" t="s">
        <v>349</v>
      </c>
      <c r="C23">
        <v>0</v>
      </c>
    </row>
    <row r="24" spans="1:10" ht="15" thickBot="1" x14ac:dyDescent="0.35">
      <c r="A24" s="34"/>
      <c r="B24" s="297" t="s">
        <v>350</v>
      </c>
      <c r="C24" s="297">
        <v>2</v>
      </c>
    </row>
    <row r="25" spans="1:10" x14ac:dyDescent="0.3">
      <c r="A25" s="34"/>
    </row>
    <row r="26" spans="1:10" ht="15" thickBot="1" x14ac:dyDescent="0.35">
      <c r="A26" s="25"/>
      <c r="B26" t="s">
        <v>351</v>
      </c>
    </row>
    <row r="27" spans="1:10" x14ac:dyDescent="0.3">
      <c r="A27" s="25"/>
      <c r="B27" s="298"/>
      <c r="C27" s="298" t="s">
        <v>356</v>
      </c>
      <c r="D27" s="298" t="s">
        <v>357</v>
      </c>
      <c r="E27" s="298" t="s">
        <v>358</v>
      </c>
      <c r="F27" s="298" t="s">
        <v>359</v>
      </c>
      <c r="G27" s="298" t="s">
        <v>360</v>
      </c>
    </row>
    <row r="28" spans="1:10" x14ac:dyDescent="0.3">
      <c r="A28" s="25"/>
      <c r="B28" t="s">
        <v>352</v>
      </c>
      <c r="C28">
        <v>1</v>
      </c>
      <c r="D28">
        <v>6054.2907604999982</v>
      </c>
      <c r="E28">
        <v>6054.2907604999982</v>
      </c>
      <c r="F28" t="e">
        <v>#NUM!</v>
      </c>
      <c r="G28" t="e">
        <v>#NUM!</v>
      </c>
    </row>
    <row r="29" spans="1:10" x14ac:dyDescent="0.3">
      <c r="A29" s="25"/>
      <c r="B29" t="s">
        <v>353</v>
      </c>
      <c r="C29">
        <v>0</v>
      </c>
      <c r="D29">
        <v>0</v>
      </c>
      <c r="E29">
        <v>65535</v>
      </c>
    </row>
    <row r="30" spans="1:10" ht="15" thickBot="1" x14ac:dyDescent="0.35">
      <c r="B30" s="297" t="s">
        <v>354</v>
      </c>
      <c r="C30" s="297">
        <v>1</v>
      </c>
      <c r="D30" s="297">
        <v>6054.2907604999982</v>
      </c>
      <c r="E30" s="297"/>
      <c r="F30" s="297"/>
      <c r="G30" s="297"/>
    </row>
    <row r="31" spans="1:10" ht="15" thickBot="1" x14ac:dyDescent="0.35">
      <c r="A31" s="24"/>
    </row>
    <row r="32" spans="1:10" x14ac:dyDescent="0.3">
      <c r="A32" s="219"/>
      <c r="B32" s="298"/>
      <c r="C32" s="298" t="s">
        <v>361</v>
      </c>
      <c r="D32" s="298" t="s">
        <v>349</v>
      </c>
      <c r="E32" s="298" t="s">
        <v>362</v>
      </c>
      <c r="F32" s="298" t="s">
        <v>363</v>
      </c>
      <c r="G32" s="298" t="s">
        <v>364</v>
      </c>
      <c r="H32" s="298" t="s">
        <v>365</v>
      </c>
      <c r="I32" s="298" t="s">
        <v>366</v>
      </c>
      <c r="J32" s="298" t="s">
        <v>367</v>
      </c>
    </row>
    <row r="33" spans="1:10" x14ac:dyDescent="0.3">
      <c r="A33" s="34"/>
      <c r="B33" s="300" t="s">
        <v>355</v>
      </c>
      <c r="C33" s="300">
        <v>-7.4538762156066696E-3</v>
      </c>
      <c r="D33">
        <v>0</v>
      </c>
      <c r="E33">
        <v>65535</v>
      </c>
      <c r="F33" t="e">
        <v>#NUM!</v>
      </c>
      <c r="G33" t="e">
        <v>#VALUE!</v>
      </c>
      <c r="H33" t="e">
        <v>#VALUE!</v>
      </c>
      <c r="I33">
        <v>-7.4538762156066696E-3</v>
      </c>
      <c r="J33">
        <v>-7.4538762156066696E-3</v>
      </c>
    </row>
    <row r="34" spans="1:10" ht="15" thickBot="1" x14ac:dyDescent="0.35">
      <c r="A34" s="34"/>
      <c r="B34" s="301" t="s">
        <v>368</v>
      </c>
      <c r="C34" s="301">
        <v>1.0000817958738528</v>
      </c>
      <c r="D34" s="297">
        <v>0</v>
      </c>
      <c r="E34" s="297">
        <v>65535</v>
      </c>
      <c r="F34" s="297" t="e">
        <v>#NUM!</v>
      </c>
      <c r="G34" s="297">
        <v>1.0000817958738528</v>
      </c>
      <c r="H34" s="297">
        <v>1.0000817958738528</v>
      </c>
      <c r="I34" s="297">
        <v>1.0000817958738528</v>
      </c>
      <c r="J34" s="297">
        <v>1.0000817958738528</v>
      </c>
    </row>
    <row r="35" spans="1:10" x14ac:dyDescent="0.3">
      <c r="A35" s="34"/>
    </row>
    <row r="36" spans="1:10" x14ac:dyDescent="0.3">
      <c r="A36" s="34"/>
    </row>
    <row r="37" spans="1:10" x14ac:dyDescent="0.3">
      <c r="A37" s="25"/>
    </row>
    <row r="38" spans="1:10" x14ac:dyDescent="0.3">
      <c r="A38" s="25"/>
      <c r="B38" s="24"/>
      <c r="C38" s="25"/>
      <c r="D38" s="25"/>
      <c r="E38" s="25"/>
      <c r="F38" s="34"/>
      <c r="G38" s="34"/>
      <c r="H38" s="25"/>
    </row>
    <row r="39" spans="1:10" x14ac:dyDescent="0.3">
      <c r="A39" s="25"/>
      <c r="B39" s="25"/>
      <c r="C39" s="221"/>
      <c r="D39" s="222"/>
      <c r="E39" s="222"/>
      <c r="F39" s="25"/>
      <c r="G39" s="25"/>
      <c r="H39" s="25"/>
    </row>
    <row r="40" spans="1:10" x14ac:dyDescent="0.3">
      <c r="A40" s="25"/>
      <c r="B40" s="25"/>
      <c r="C40" s="77"/>
      <c r="D40" s="223"/>
      <c r="E40" s="223"/>
      <c r="F40" s="25"/>
      <c r="G40" s="25"/>
      <c r="H40" s="25"/>
    </row>
    <row r="42" spans="1:10" x14ac:dyDescent="0.3">
      <c r="A42" s="24"/>
      <c r="B42" s="25"/>
      <c r="C42" s="25"/>
      <c r="D42" s="70"/>
      <c r="E42" s="25"/>
      <c r="F42" s="25"/>
      <c r="G42" s="25"/>
      <c r="H42" s="25"/>
    </row>
    <row r="43" spans="1:10" x14ac:dyDescent="0.3">
      <c r="A43" s="219"/>
      <c r="B43" s="220"/>
      <c r="C43" s="220"/>
      <c r="D43" s="220"/>
      <c r="E43" s="220"/>
      <c r="F43" s="220"/>
      <c r="G43" s="220"/>
      <c r="H43" s="219"/>
    </row>
    <row r="44" spans="1:10" x14ac:dyDescent="0.3">
      <c r="A44" s="34"/>
      <c r="B44" s="224"/>
      <c r="C44" s="34"/>
      <c r="D44" s="225"/>
      <c r="E44" s="34"/>
      <c r="F44" s="225"/>
      <c r="G44" s="34"/>
      <c r="H44" s="226"/>
    </row>
    <row r="45" spans="1:10" x14ac:dyDescent="0.3">
      <c r="A45" s="34"/>
      <c r="B45" s="224"/>
      <c r="C45" s="34"/>
      <c r="D45" s="225"/>
      <c r="E45" s="34"/>
      <c r="F45" s="225"/>
      <c r="G45" s="34"/>
      <c r="H45" s="226"/>
    </row>
    <row r="46" spans="1:10" x14ac:dyDescent="0.3">
      <c r="A46" s="25"/>
      <c r="B46" s="25"/>
      <c r="C46" s="25"/>
      <c r="D46" s="25"/>
      <c r="E46" s="25"/>
      <c r="F46" s="34"/>
      <c r="G46" s="34"/>
      <c r="H46" s="25"/>
    </row>
    <row r="47" spans="1:10" x14ac:dyDescent="0.3">
      <c r="A47" s="25"/>
      <c r="B47" s="24"/>
      <c r="C47" s="25"/>
      <c r="D47" s="25"/>
      <c r="E47" s="25"/>
      <c r="F47" s="34"/>
      <c r="G47" s="34"/>
      <c r="H47" s="25"/>
    </row>
    <row r="48" spans="1:10" x14ac:dyDescent="0.3">
      <c r="A48" s="25"/>
      <c r="B48" s="25"/>
      <c r="C48" s="221"/>
      <c r="D48" s="222"/>
      <c r="E48" s="222"/>
      <c r="F48" s="25"/>
      <c r="G48" s="25"/>
      <c r="H48" s="25"/>
    </row>
    <row r="49" spans="1:8" x14ac:dyDescent="0.3">
      <c r="A49" s="25"/>
      <c r="B49" s="25"/>
      <c r="C49" s="77"/>
      <c r="D49" s="223"/>
      <c r="E49" s="223"/>
      <c r="F49" s="25"/>
      <c r="G49" s="25"/>
      <c r="H49" s="25"/>
    </row>
    <row r="51" spans="1:8" x14ac:dyDescent="0.3">
      <c r="A51" s="24"/>
      <c r="B51" s="25"/>
      <c r="C51" s="25"/>
      <c r="D51" s="70"/>
      <c r="E51" s="25"/>
      <c r="F51" s="25"/>
      <c r="G51" s="25"/>
      <c r="H51" s="25"/>
    </row>
    <row r="52" spans="1:8" x14ac:dyDescent="0.3">
      <c r="A52" s="219"/>
      <c r="B52" s="220"/>
      <c r="C52" s="220"/>
      <c r="D52" s="220"/>
      <c r="E52" s="220"/>
      <c r="F52" s="220"/>
      <c r="G52" s="220"/>
      <c r="H52" s="219"/>
    </row>
    <row r="53" spans="1:8" x14ac:dyDescent="0.3">
      <c r="A53" s="34"/>
      <c r="B53" s="224"/>
      <c r="C53" s="34"/>
      <c r="D53" s="225"/>
      <c r="E53" s="34"/>
      <c r="F53" s="225"/>
      <c r="G53" s="34"/>
      <c r="H53" s="226"/>
    </row>
    <row r="54" spans="1:8" x14ac:dyDescent="0.3">
      <c r="A54" s="34"/>
      <c r="B54" s="227"/>
      <c r="C54" s="34"/>
      <c r="D54" s="225"/>
      <c r="E54" s="34"/>
      <c r="F54" s="225"/>
      <c r="G54" s="34"/>
      <c r="H54" s="226"/>
    </row>
    <row r="55" spans="1:8" x14ac:dyDescent="0.3">
      <c r="A55" s="25"/>
      <c r="B55" s="25"/>
      <c r="C55" s="25"/>
      <c r="D55" s="25"/>
      <c r="E55" s="25"/>
      <c r="F55" s="34"/>
      <c r="G55" s="34"/>
      <c r="H55" s="25"/>
    </row>
    <row r="56" spans="1:8" x14ac:dyDescent="0.3">
      <c r="A56" s="25"/>
      <c r="B56" s="24"/>
      <c r="C56" s="25"/>
      <c r="D56" s="25"/>
      <c r="E56" s="25"/>
      <c r="F56" s="34"/>
      <c r="G56" s="34"/>
      <c r="H56" s="25"/>
    </row>
    <row r="57" spans="1:8" x14ac:dyDescent="0.3">
      <c r="A57" s="25"/>
      <c r="B57" s="25"/>
      <c r="C57" s="221"/>
      <c r="D57" s="222"/>
      <c r="E57" s="222"/>
      <c r="F57" s="25"/>
      <c r="G57" s="25"/>
      <c r="H57" s="25"/>
    </row>
    <row r="58" spans="1:8" x14ac:dyDescent="0.3">
      <c r="A58" s="25"/>
      <c r="B58" s="25"/>
      <c r="C58" s="77"/>
      <c r="D58" s="223"/>
      <c r="E58" s="223"/>
      <c r="F58" s="25"/>
      <c r="G58" s="25"/>
      <c r="H58" s="25"/>
    </row>
    <row r="60" spans="1:8" x14ac:dyDescent="0.3">
      <c r="A60" s="24"/>
      <c r="B60" s="25"/>
      <c r="C60" s="25"/>
      <c r="D60" s="70"/>
      <c r="E60" s="25"/>
      <c r="F60" s="25"/>
      <c r="G60" s="25"/>
      <c r="H60" s="25"/>
    </row>
    <row r="61" spans="1:8" x14ac:dyDescent="0.3">
      <c r="A61" s="219"/>
      <c r="B61" s="220"/>
      <c r="C61" s="220"/>
      <c r="D61" s="220"/>
      <c r="E61" s="220"/>
      <c r="F61" s="220"/>
      <c r="G61" s="220"/>
      <c r="H61" s="219"/>
    </row>
    <row r="62" spans="1:8" x14ac:dyDescent="0.3">
      <c r="A62" s="34"/>
      <c r="B62" s="228"/>
      <c r="C62" s="34"/>
      <c r="D62" s="225"/>
      <c r="E62" s="34"/>
      <c r="F62" s="225"/>
      <c r="G62" s="34"/>
      <c r="H62" s="226"/>
    </row>
    <row r="63" spans="1:8" x14ac:dyDescent="0.3">
      <c r="A63" s="34"/>
      <c r="B63" s="228"/>
      <c r="C63" s="34"/>
      <c r="D63" s="225"/>
      <c r="E63" s="34"/>
      <c r="F63" s="225"/>
      <c r="G63" s="34"/>
      <c r="H63" s="226"/>
    </row>
    <row r="64" spans="1:8" x14ac:dyDescent="0.3">
      <c r="A64" s="25"/>
      <c r="B64" s="25"/>
      <c r="C64" s="25"/>
      <c r="D64" s="25"/>
      <c r="E64" s="25"/>
      <c r="F64" s="34"/>
      <c r="G64" s="34"/>
      <c r="H64" s="25"/>
    </row>
    <row r="65" spans="1:8" x14ac:dyDescent="0.3">
      <c r="A65" s="25"/>
      <c r="B65" s="24"/>
      <c r="C65" s="25"/>
      <c r="D65" s="25"/>
      <c r="E65" s="25"/>
      <c r="F65" s="34"/>
      <c r="G65" s="34"/>
      <c r="H65" s="25"/>
    </row>
    <row r="66" spans="1:8" x14ac:dyDescent="0.3">
      <c r="A66" s="25"/>
      <c r="B66" s="25"/>
      <c r="C66" s="221"/>
      <c r="D66" s="222"/>
      <c r="E66" s="222"/>
      <c r="F66" s="25"/>
      <c r="G66" s="25"/>
      <c r="H66" s="25"/>
    </row>
    <row r="67" spans="1:8" x14ac:dyDescent="0.3">
      <c r="A67" s="25"/>
      <c r="B67" s="25"/>
      <c r="C67" s="77"/>
      <c r="D67" s="223"/>
      <c r="E67" s="223"/>
      <c r="F67" s="25"/>
      <c r="G67" s="25"/>
      <c r="H67" s="25"/>
    </row>
    <row r="69" spans="1:8" x14ac:dyDescent="0.3">
      <c r="B69" s="24"/>
      <c r="C69" s="77"/>
      <c r="D69" s="77"/>
    </row>
  </sheetData>
  <mergeCells count="5">
    <mergeCell ref="A1:H3"/>
    <mergeCell ref="E9:F9"/>
    <mergeCell ref="B13:C13"/>
    <mergeCell ref="D13:E13"/>
    <mergeCell ref="F13:G13"/>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92F55-A563-48D7-ABA3-C90F242D04B7}">
  <dimension ref="A2:Q184"/>
  <sheetViews>
    <sheetView topLeftCell="A169" zoomScale="85" zoomScaleNormal="85" workbookViewId="0">
      <selection activeCell="A100" sqref="A100:Q184"/>
    </sheetView>
  </sheetViews>
  <sheetFormatPr defaultColWidth="9.21875" defaultRowHeight="13.8" x14ac:dyDescent="0.25"/>
  <cols>
    <col min="1" max="1" width="18.77734375" style="25" bestFit="1" customWidth="1"/>
    <col min="2" max="2" width="3.21875" style="25" customWidth="1"/>
    <col min="3" max="3" width="5" style="25" customWidth="1"/>
    <col min="4" max="4" width="12.77734375" style="25" customWidth="1"/>
    <col min="5" max="5" width="14.21875" style="25" bestFit="1" customWidth="1"/>
    <col min="6" max="6" width="14.44140625" style="25" customWidth="1"/>
    <col min="7" max="7" width="10.5546875" style="25" customWidth="1"/>
    <col min="8" max="8" width="15.21875" style="25" customWidth="1"/>
    <col min="9" max="9" width="10.77734375" style="25" customWidth="1"/>
    <col min="10" max="10" width="14.44140625" style="25" customWidth="1"/>
    <col min="11" max="11" width="15.5546875" style="25" customWidth="1"/>
    <col min="12" max="16384" width="9.21875" style="25"/>
  </cols>
  <sheetData>
    <row r="2" spans="1:12" x14ac:dyDescent="0.25">
      <c r="A2" s="24" t="s">
        <v>28</v>
      </c>
      <c r="B2" s="91" t="s">
        <v>6</v>
      </c>
      <c r="C2" s="24" t="s">
        <v>30</v>
      </c>
    </row>
    <row r="3" spans="1:12" x14ac:dyDescent="0.25">
      <c r="A3" s="24" t="s">
        <v>11</v>
      </c>
      <c r="B3" s="91" t="s">
        <v>6</v>
      </c>
      <c r="C3" s="24" t="s">
        <v>183</v>
      </c>
    </row>
    <row r="4" spans="1:12" x14ac:dyDescent="0.25">
      <c r="A4" s="24" t="s">
        <v>141</v>
      </c>
      <c r="B4" s="91" t="s">
        <v>6</v>
      </c>
      <c r="C4" s="24" t="s">
        <v>31</v>
      </c>
    </row>
    <row r="5" spans="1:12" x14ac:dyDescent="0.25">
      <c r="A5" s="24" t="s">
        <v>18</v>
      </c>
      <c r="B5" s="91" t="s">
        <v>6</v>
      </c>
      <c r="C5" s="24" t="s">
        <v>32</v>
      </c>
    </row>
    <row r="6" spans="1:12" x14ac:dyDescent="0.25">
      <c r="A6" s="24" t="s">
        <v>16</v>
      </c>
      <c r="B6" s="91" t="s">
        <v>6</v>
      </c>
      <c r="C6" s="92" t="s">
        <v>181</v>
      </c>
    </row>
    <row r="7" spans="1:12" x14ac:dyDescent="0.25">
      <c r="A7" s="24" t="s">
        <v>142</v>
      </c>
      <c r="B7" s="91" t="s">
        <v>6</v>
      </c>
      <c r="C7" s="24" t="s">
        <v>164</v>
      </c>
    </row>
    <row r="8" spans="1:12" x14ac:dyDescent="0.25">
      <c r="A8" s="24" t="s">
        <v>143</v>
      </c>
      <c r="B8" s="91" t="s">
        <v>6</v>
      </c>
      <c r="C8" s="24" t="s">
        <v>182</v>
      </c>
    </row>
    <row r="10" spans="1:12" x14ac:dyDescent="0.25">
      <c r="C10" s="25" t="s">
        <v>152</v>
      </c>
    </row>
    <row r="11" spans="1:12" s="78" customFormat="1" ht="30.6" customHeight="1" x14ac:dyDescent="0.3">
      <c r="C11" s="159" t="s">
        <v>101</v>
      </c>
      <c r="D11" s="704" t="s">
        <v>150</v>
      </c>
      <c r="E11" s="705"/>
      <c r="F11" s="704" t="s">
        <v>157</v>
      </c>
      <c r="G11" s="705"/>
      <c r="H11" s="706" t="s">
        <v>151</v>
      </c>
      <c r="I11" s="706"/>
      <c r="J11" s="159" t="s">
        <v>111</v>
      </c>
      <c r="K11" s="706" t="s">
        <v>130</v>
      </c>
      <c r="L11" s="706"/>
    </row>
    <row r="12" spans="1:12" x14ac:dyDescent="0.25">
      <c r="C12" s="68">
        <v>1</v>
      </c>
      <c r="D12" s="713">
        <v>5</v>
      </c>
      <c r="E12" s="83" t="s">
        <v>75</v>
      </c>
      <c r="F12" s="82">
        <v>0.01</v>
      </c>
      <c r="G12" s="45" t="str">
        <f>E12</f>
        <v>Ω</v>
      </c>
      <c r="H12" s="90">
        <v>8.9999999999999993E-3</v>
      </c>
      <c r="I12" s="45" t="str">
        <f t="shared" ref="I12:I14" si="0">E12</f>
        <v>Ω</v>
      </c>
      <c r="J12" s="116">
        <f>F12-H12</f>
        <v>1.0000000000000009E-3</v>
      </c>
      <c r="K12" s="597">
        <v>1.8</v>
      </c>
      <c r="L12" s="716" t="s">
        <v>184</v>
      </c>
    </row>
    <row r="13" spans="1:12" x14ac:dyDescent="0.25">
      <c r="C13" s="68">
        <v>2</v>
      </c>
      <c r="D13" s="714"/>
      <c r="E13" s="83" t="s">
        <v>75</v>
      </c>
      <c r="F13" s="82">
        <v>0.1</v>
      </c>
      <c r="G13" s="45" t="str">
        <f>E13</f>
        <v>Ω</v>
      </c>
      <c r="H13" s="90">
        <v>0.11</v>
      </c>
      <c r="I13" s="45" t="str">
        <f t="shared" si="0"/>
        <v>Ω</v>
      </c>
      <c r="J13" s="116">
        <f t="shared" ref="J13:J14" si="1">F13-H13</f>
        <v>-9.999999999999995E-3</v>
      </c>
      <c r="K13" s="597"/>
      <c r="L13" s="716"/>
    </row>
    <row r="14" spans="1:12" x14ac:dyDescent="0.25">
      <c r="C14" s="68">
        <v>3</v>
      </c>
      <c r="D14" s="715"/>
      <c r="E14" s="83" t="s">
        <v>75</v>
      </c>
      <c r="F14" s="82">
        <v>1</v>
      </c>
      <c r="G14" s="45" t="str">
        <f>E14</f>
        <v>Ω</v>
      </c>
      <c r="H14" s="90">
        <v>1.08</v>
      </c>
      <c r="I14" s="83" t="str">
        <f t="shared" si="0"/>
        <v>Ω</v>
      </c>
      <c r="J14" s="116">
        <f t="shared" si="1"/>
        <v>-8.0000000000000071E-2</v>
      </c>
      <c r="K14" s="597"/>
      <c r="L14" s="716"/>
    </row>
    <row r="16" spans="1:12" x14ac:dyDescent="0.25">
      <c r="D16" s="87" t="s">
        <v>131</v>
      </c>
      <c r="E16" s="88">
        <f t="array" ref="E16:F20">LINEST(F12:F14,H12:H14,1,1)</f>
        <v>0.92576193603674095</v>
      </c>
      <c r="F16" s="88">
        <v>3.8128973159357038E-6</v>
      </c>
      <c r="G16" s="89" t="s">
        <v>132</v>
      </c>
    </row>
    <row r="17" spans="3:12" x14ac:dyDescent="0.25">
      <c r="D17" s="87" t="s">
        <v>133</v>
      </c>
      <c r="E17" s="88">
        <v>2.9718593437658863E-3</v>
      </c>
      <c r="F17" s="88">
        <v>1.8627189855708022E-3</v>
      </c>
      <c r="G17" s="89" t="s">
        <v>134</v>
      </c>
    </row>
    <row r="18" spans="3:12" x14ac:dyDescent="0.25">
      <c r="D18" s="87" t="s">
        <v>135</v>
      </c>
      <c r="E18" s="88">
        <v>0.99998969487211953</v>
      </c>
      <c r="F18" s="88">
        <v>2.4853357221149563E-3</v>
      </c>
      <c r="G18" s="89" t="s">
        <v>136</v>
      </c>
    </row>
    <row r="19" spans="3:12" x14ac:dyDescent="0.25">
      <c r="D19" s="87" t="s">
        <v>137</v>
      </c>
      <c r="E19" s="88">
        <v>97038.06750000974</v>
      </c>
      <c r="F19" s="88">
        <v>1</v>
      </c>
      <c r="G19" s="89" t="s">
        <v>138</v>
      </c>
    </row>
    <row r="20" spans="3:12" x14ac:dyDescent="0.25">
      <c r="D20" s="87" t="s">
        <v>139</v>
      </c>
      <c r="E20" s="88">
        <v>0.59939382310634837</v>
      </c>
      <c r="F20" s="88">
        <v>6.1768936516206719E-6</v>
      </c>
      <c r="G20" s="89" t="s">
        <v>140</v>
      </c>
    </row>
    <row r="23" spans="3:12" x14ac:dyDescent="0.25">
      <c r="C23" s="25" t="s">
        <v>153</v>
      </c>
    </row>
    <row r="24" spans="3:12" s="93" customFormat="1" ht="30" customHeight="1" x14ac:dyDescent="0.25">
      <c r="C24" s="159" t="s">
        <v>101</v>
      </c>
      <c r="D24" s="704" t="s">
        <v>154</v>
      </c>
      <c r="E24" s="705"/>
      <c r="F24" s="704" t="s">
        <v>155</v>
      </c>
      <c r="G24" s="705"/>
      <c r="H24" s="706" t="s">
        <v>156</v>
      </c>
      <c r="I24" s="706"/>
      <c r="J24" s="159" t="s">
        <v>111</v>
      </c>
      <c r="K24" s="706" t="s">
        <v>130</v>
      </c>
      <c r="L24" s="706"/>
    </row>
    <row r="25" spans="3:12" x14ac:dyDescent="0.25">
      <c r="C25" s="68">
        <v>1</v>
      </c>
      <c r="D25" s="707">
        <v>10000</v>
      </c>
      <c r="E25" s="708"/>
      <c r="F25" s="120">
        <v>50</v>
      </c>
      <c r="G25" s="121"/>
      <c r="H25" s="123">
        <v>49.8</v>
      </c>
      <c r="I25" s="83"/>
      <c r="J25" s="119">
        <f>H25-F25</f>
        <v>-0.20000000000000284</v>
      </c>
      <c r="K25" s="597">
        <v>2.9</v>
      </c>
      <c r="L25" s="716" t="s">
        <v>184</v>
      </c>
    </row>
    <row r="26" spans="3:12" x14ac:dyDescent="0.25">
      <c r="C26" s="68">
        <v>2</v>
      </c>
      <c r="D26" s="709"/>
      <c r="E26" s="710"/>
      <c r="F26" s="120">
        <v>100</v>
      </c>
      <c r="G26" s="121"/>
      <c r="H26" s="123">
        <v>98.9</v>
      </c>
      <c r="I26" s="83"/>
      <c r="J26" s="119">
        <f t="shared" ref="J26:J34" si="2">H26-F26</f>
        <v>-1.0999999999999943</v>
      </c>
      <c r="K26" s="597"/>
      <c r="L26" s="716"/>
    </row>
    <row r="27" spans="3:12" x14ac:dyDescent="0.25">
      <c r="C27" s="68">
        <v>3</v>
      </c>
      <c r="D27" s="709"/>
      <c r="E27" s="710"/>
      <c r="F27" s="120">
        <v>200</v>
      </c>
      <c r="G27" s="121"/>
      <c r="H27" s="123">
        <v>199</v>
      </c>
      <c r="I27" s="83"/>
      <c r="J27" s="119">
        <f t="shared" si="2"/>
        <v>-1</v>
      </c>
      <c r="K27" s="597"/>
      <c r="L27" s="716"/>
    </row>
    <row r="28" spans="3:12" x14ac:dyDescent="0.25">
      <c r="C28" s="68">
        <v>4</v>
      </c>
      <c r="D28" s="709"/>
      <c r="E28" s="710"/>
      <c r="F28" s="120">
        <v>500</v>
      </c>
      <c r="G28" s="121"/>
      <c r="H28" s="123">
        <v>499.2</v>
      </c>
      <c r="I28" s="83"/>
      <c r="J28" s="119">
        <f t="shared" si="2"/>
        <v>-0.80000000000001137</v>
      </c>
      <c r="K28" s="597"/>
      <c r="L28" s="716"/>
    </row>
    <row r="29" spans="3:12" x14ac:dyDescent="0.25">
      <c r="C29" s="68">
        <v>5</v>
      </c>
      <c r="D29" s="709"/>
      <c r="E29" s="710"/>
      <c r="F29" s="122">
        <v>1000</v>
      </c>
      <c r="G29" s="45"/>
      <c r="H29" s="122">
        <v>999.7</v>
      </c>
      <c r="I29" s="45"/>
      <c r="J29" s="119">
        <f t="shared" si="2"/>
        <v>-0.29999999999995453</v>
      </c>
      <c r="K29" s="597"/>
      <c r="L29" s="716"/>
    </row>
    <row r="30" spans="3:12" x14ac:dyDescent="0.25">
      <c r="C30" s="68">
        <v>6</v>
      </c>
      <c r="D30" s="709"/>
      <c r="E30" s="710"/>
      <c r="F30" s="122">
        <v>2000</v>
      </c>
      <c r="G30" s="45"/>
      <c r="H30" s="122">
        <v>2000.6</v>
      </c>
      <c r="I30" s="45"/>
      <c r="J30" s="119">
        <f t="shared" si="2"/>
        <v>0.59999999999990905</v>
      </c>
      <c r="K30" s="597"/>
      <c r="L30" s="716"/>
    </row>
    <row r="31" spans="3:12" x14ac:dyDescent="0.25">
      <c r="C31" s="68">
        <v>7</v>
      </c>
      <c r="D31" s="709"/>
      <c r="E31" s="710"/>
      <c r="F31" s="122">
        <v>4000</v>
      </c>
      <c r="G31" s="45"/>
      <c r="H31" s="122">
        <v>4002.5</v>
      </c>
      <c r="I31" s="45"/>
      <c r="J31" s="119">
        <f t="shared" si="2"/>
        <v>2.5</v>
      </c>
      <c r="K31" s="597"/>
      <c r="L31" s="716"/>
    </row>
    <row r="32" spans="3:12" x14ac:dyDescent="0.25">
      <c r="C32" s="68">
        <v>8</v>
      </c>
      <c r="D32" s="709"/>
      <c r="E32" s="710"/>
      <c r="F32" s="122">
        <v>6000</v>
      </c>
      <c r="G32" s="45"/>
      <c r="H32" s="122">
        <v>6004.3</v>
      </c>
      <c r="I32" s="45"/>
      <c r="J32" s="119">
        <f t="shared" si="2"/>
        <v>4.3000000000001819</v>
      </c>
      <c r="K32" s="597"/>
      <c r="L32" s="716"/>
    </row>
    <row r="33" spans="3:12" x14ac:dyDescent="0.25">
      <c r="C33" s="68">
        <v>9</v>
      </c>
      <c r="D33" s="709"/>
      <c r="E33" s="710"/>
      <c r="F33" s="122">
        <v>8000</v>
      </c>
      <c r="G33" s="45"/>
      <c r="H33" s="122">
        <v>8006.2</v>
      </c>
      <c r="I33" s="45"/>
      <c r="J33" s="119">
        <f t="shared" si="2"/>
        <v>6.1999999999998181</v>
      </c>
      <c r="K33" s="597"/>
      <c r="L33" s="716"/>
    </row>
    <row r="34" spans="3:12" x14ac:dyDescent="0.25">
      <c r="C34" s="68">
        <v>10</v>
      </c>
      <c r="D34" s="711"/>
      <c r="E34" s="712"/>
      <c r="F34" s="122">
        <v>9500</v>
      </c>
      <c r="G34" s="45"/>
      <c r="H34" s="122">
        <v>9507.6</v>
      </c>
      <c r="I34" s="45"/>
      <c r="J34" s="119">
        <f t="shared" si="2"/>
        <v>7.6000000000003638</v>
      </c>
      <c r="K34" s="597"/>
      <c r="L34" s="716"/>
    </row>
    <row r="36" spans="3:12" x14ac:dyDescent="0.25">
      <c r="D36" s="87" t="s">
        <v>131</v>
      </c>
      <c r="E36" s="88">
        <f t="array" ref="E36:F40">LINEST(H25:H34,F25:F34,1,1)</f>
        <v>1.0009002981806785</v>
      </c>
      <c r="F36" s="88">
        <v>-1.0424347964267326</v>
      </c>
      <c r="G36" s="89" t="s">
        <v>132</v>
      </c>
    </row>
    <row r="37" spans="3:12" x14ac:dyDescent="0.25">
      <c r="D37" s="87" t="s">
        <v>133</v>
      </c>
      <c r="E37" s="88">
        <v>2.9457041320937838E-5</v>
      </c>
      <c r="F37" s="88">
        <v>0.13548718042419181</v>
      </c>
      <c r="G37" s="89" t="s">
        <v>134</v>
      </c>
    </row>
    <row r="38" spans="3:12" x14ac:dyDescent="0.25">
      <c r="D38" s="87" t="s">
        <v>135</v>
      </c>
      <c r="E38" s="88">
        <v>0.99999999307074416</v>
      </c>
      <c r="F38" s="88">
        <v>0.31350686374968412</v>
      </c>
      <c r="G38" s="89" t="s">
        <v>136</v>
      </c>
    </row>
    <row r="39" spans="3:12" x14ac:dyDescent="0.25">
      <c r="D39" s="87" t="s">
        <v>137</v>
      </c>
      <c r="E39" s="88">
        <v>1154525127.1150272</v>
      </c>
      <c r="F39" s="88">
        <v>8</v>
      </c>
      <c r="G39" s="89" t="s">
        <v>138</v>
      </c>
    </row>
    <row r="40" spans="3:12" x14ac:dyDescent="0.25">
      <c r="D40" s="87" t="s">
        <v>139</v>
      </c>
      <c r="E40" s="88">
        <v>113474295.80970757</v>
      </c>
      <c r="F40" s="88">
        <v>0.78629242894530393</v>
      </c>
      <c r="G40" s="89" t="s">
        <v>140</v>
      </c>
    </row>
    <row r="43" spans="3:12" x14ac:dyDescent="0.25">
      <c r="C43" s="25" t="s">
        <v>158</v>
      </c>
    </row>
    <row r="44" spans="3:12" ht="30" customHeight="1" x14ac:dyDescent="0.25">
      <c r="C44" s="159" t="s">
        <v>101</v>
      </c>
      <c r="D44" s="704" t="s">
        <v>154</v>
      </c>
      <c r="E44" s="705"/>
      <c r="F44" s="704" t="s">
        <v>155</v>
      </c>
      <c r="G44" s="705"/>
      <c r="H44" s="706" t="s">
        <v>156</v>
      </c>
      <c r="I44" s="706"/>
      <c r="J44" s="159" t="s">
        <v>111</v>
      </c>
      <c r="K44" s="706" t="s">
        <v>130</v>
      </c>
      <c r="L44" s="706"/>
    </row>
    <row r="45" spans="3:12" x14ac:dyDescent="0.25">
      <c r="C45" s="68">
        <v>1</v>
      </c>
      <c r="D45" s="707">
        <v>10000</v>
      </c>
      <c r="E45" s="708"/>
      <c r="F45" s="120">
        <v>50</v>
      </c>
      <c r="G45" s="121"/>
      <c r="H45" s="123">
        <v>53.4</v>
      </c>
      <c r="I45" s="83"/>
      <c r="J45" s="119">
        <f>H45-F45</f>
        <v>3.3999999999999986</v>
      </c>
      <c r="K45" s="597">
        <v>2.9</v>
      </c>
      <c r="L45" s="716" t="s">
        <v>184</v>
      </c>
    </row>
    <row r="46" spans="3:12" x14ac:dyDescent="0.25">
      <c r="C46" s="68">
        <v>2</v>
      </c>
      <c r="D46" s="709"/>
      <c r="E46" s="710"/>
      <c r="F46" s="120">
        <v>100</v>
      </c>
      <c r="G46" s="121"/>
      <c r="H46" s="123">
        <v>103.6</v>
      </c>
      <c r="I46" s="83"/>
      <c r="J46" s="119">
        <f t="shared" ref="J46:J54" si="3">H46-F46</f>
        <v>3.5999999999999943</v>
      </c>
      <c r="K46" s="597"/>
      <c r="L46" s="716"/>
    </row>
    <row r="47" spans="3:12" x14ac:dyDescent="0.25">
      <c r="C47" s="68">
        <v>3</v>
      </c>
      <c r="D47" s="709"/>
      <c r="E47" s="710"/>
      <c r="F47" s="120">
        <v>200</v>
      </c>
      <c r="G47" s="121"/>
      <c r="H47" s="123">
        <v>203.9</v>
      </c>
      <c r="I47" s="83"/>
      <c r="J47" s="119">
        <f t="shared" si="3"/>
        <v>3.9000000000000057</v>
      </c>
      <c r="K47" s="597"/>
      <c r="L47" s="716"/>
    </row>
    <row r="48" spans="3:12" x14ac:dyDescent="0.25">
      <c r="C48" s="68">
        <v>4</v>
      </c>
      <c r="D48" s="709"/>
      <c r="E48" s="710"/>
      <c r="F48" s="120">
        <v>500</v>
      </c>
      <c r="G48" s="121"/>
      <c r="H48" s="123">
        <v>505.1</v>
      </c>
      <c r="I48" s="83"/>
      <c r="J48" s="119">
        <f t="shared" si="3"/>
        <v>5.1000000000000227</v>
      </c>
      <c r="K48" s="597"/>
      <c r="L48" s="716"/>
    </row>
    <row r="49" spans="3:12" x14ac:dyDescent="0.25">
      <c r="C49" s="68">
        <v>5</v>
      </c>
      <c r="D49" s="709"/>
      <c r="E49" s="710"/>
      <c r="F49" s="122">
        <v>1000</v>
      </c>
      <c r="G49" s="45"/>
      <c r="H49" s="122">
        <v>1007</v>
      </c>
      <c r="I49" s="45"/>
      <c r="J49" s="119">
        <f t="shared" si="3"/>
        <v>7</v>
      </c>
      <c r="K49" s="597"/>
      <c r="L49" s="716"/>
    </row>
    <row r="50" spans="3:12" x14ac:dyDescent="0.25">
      <c r="C50" s="68">
        <v>6</v>
      </c>
      <c r="D50" s="709"/>
      <c r="E50" s="710"/>
      <c r="F50" s="122">
        <v>2000</v>
      </c>
      <c r="G50" s="45"/>
      <c r="H50" s="122">
        <v>2010.9</v>
      </c>
      <c r="I50" s="45"/>
      <c r="J50" s="119">
        <f t="shared" si="3"/>
        <v>10.900000000000091</v>
      </c>
      <c r="K50" s="597"/>
      <c r="L50" s="716"/>
    </row>
    <row r="51" spans="3:12" x14ac:dyDescent="0.25">
      <c r="C51" s="68">
        <v>7</v>
      </c>
      <c r="D51" s="709"/>
      <c r="E51" s="710"/>
      <c r="F51" s="122">
        <v>4000</v>
      </c>
      <c r="G51" s="45"/>
      <c r="H51" s="122">
        <v>4018.5</v>
      </c>
      <c r="I51" s="45"/>
      <c r="J51" s="119">
        <f t="shared" si="3"/>
        <v>18.5</v>
      </c>
      <c r="K51" s="597"/>
      <c r="L51" s="716"/>
    </row>
    <row r="52" spans="3:12" x14ac:dyDescent="0.25">
      <c r="C52" s="68">
        <v>8</v>
      </c>
      <c r="D52" s="709"/>
      <c r="E52" s="710"/>
      <c r="F52" s="122">
        <v>6000</v>
      </c>
      <c r="G52" s="45"/>
      <c r="H52" s="122">
        <v>6026.2</v>
      </c>
      <c r="I52" s="45"/>
      <c r="J52" s="119">
        <f t="shared" si="3"/>
        <v>26.199999999999818</v>
      </c>
      <c r="K52" s="597"/>
      <c r="L52" s="716"/>
    </row>
    <row r="53" spans="3:12" x14ac:dyDescent="0.25">
      <c r="C53" s="68">
        <v>9</v>
      </c>
      <c r="D53" s="709"/>
      <c r="E53" s="710"/>
      <c r="F53" s="122">
        <v>8000</v>
      </c>
      <c r="G53" s="45"/>
      <c r="H53" s="122">
        <v>8033.9</v>
      </c>
      <c r="I53" s="45"/>
      <c r="J53" s="119">
        <f t="shared" si="3"/>
        <v>33.899999999999636</v>
      </c>
      <c r="K53" s="597"/>
      <c r="L53" s="716"/>
    </row>
    <row r="54" spans="3:12" x14ac:dyDescent="0.25">
      <c r="C54" s="68">
        <v>10</v>
      </c>
      <c r="D54" s="711"/>
      <c r="E54" s="712"/>
      <c r="F54" s="122">
        <v>9500</v>
      </c>
      <c r="G54" s="45"/>
      <c r="H54" s="122">
        <v>9539.7000000000007</v>
      </c>
      <c r="I54" s="45"/>
      <c r="J54" s="119">
        <f t="shared" si="3"/>
        <v>39.700000000000728</v>
      </c>
      <c r="K54" s="597"/>
      <c r="L54" s="716"/>
    </row>
    <row r="56" spans="3:12" x14ac:dyDescent="0.25">
      <c r="D56" s="87" t="s">
        <v>131</v>
      </c>
      <c r="E56" s="88">
        <f t="array" ref="E56:F60">LINEST(H45:H54,F45:F54,1,1)</f>
        <v>1.0038409291053918</v>
      </c>
      <c r="F56" s="88">
        <v>3.1786872545967526</v>
      </c>
      <c r="G56" s="89" t="s">
        <v>132</v>
      </c>
    </row>
    <row r="57" spans="3:12" x14ac:dyDescent="0.25">
      <c r="D57" s="87" t="s">
        <v>133</v>
      </c>
      <c r="E57" s="88">
        <v>3.2987485262255529E-6</v>
      </c>
      <c r="F57" s="88">
        <v>1.5172539966839035E-2</v>
      </c>
      <c r="G57" s="89" t="s">
        <v>134</v>
      </c>
    </row>
    <row r="58" spans="3:12" x14ac:dyDescent="0.25">
      <c r="D58" s="87" t="s">
        <v>135</v>
      </c>
      <c r="E58" s="88">
        <v>0.99999999991361099</v>
      </c>
      <c r="F58" s="88">
        <v>3.5108084803505989E-2</v>
      </c>
      <c r="G58" s="89" t="s">
        <v>136</v>
      </c>
    </row>
    <row r="59" spans="3:12" x14ac:dyDescent="0.25">
      <c r="D59" s="87" t="s">
        <v>137</v>
      </c>
      <c r="E59" s="88">
        <v>92604348258.85289</v>
      </c>
      <c r="F59" s="88">
        <v>8</v>
      </c>
      <c r="G59" s="89" t="s">
        <v>138</v>
      </c>
    </row>
    <row r="60" spans="3:12" x14ac:dyDescent="0.25">
      <c r="D60" s="87" t="s">
        <v>139</v>
      </c>
      <c r="E60" s="88">
        <v>114142047.04613939</v>
      </c>
      <c r="F60" s="88">
        <v>9.8606209485613446E-3</v>
      </c>
      <c r="G60" s="89" t="s">
        <v>140</v>
      </c>
    </row>
    <row r="63" spans="3:12" x14ac:dyDescent="0.25">
      <c r="C63" s="25" t="s">
        <v>159</v>
      </c>
    </row>
    <row r="64" spans="3:12" ht="30" customHeight="1" x14ac:dyDescent="0.25">
      <c r="C64" s="159" t="s">
        <v>101</v>
      </c>
      <c r="D64" s="704" t="s">
        <v>154</v>
      </c>
      <c r="E64" s="705"/>
      <c r="F64" s="706" t="s">
        <v>156</v>
      </c>
      <c r="G64" s="706"/>
      <c r="H64" s="704" t="s">
        <v>155</v>
      </c>
      <c r="I64" s="705"/>
      <c r="J64" s="159" t="s">
        <v>111</v>
      </c>
      <c r="K64" s="706" t="s">
        <v>130</v>
      </c>
      <c r="L64" s="706"/>
    </row>
    <row r="65" spans="3:12" x14ac:dyDescent="0.25">
      <c r="C65" s="68">
        <v>1</v>
      </c>
      <c r="D65" s="646">
        <v>100</v>
      </c>
      <c r="E65" s="646"/>
      <c r="F65" s="123">
        <v>1</v>
      </c>
      <c r="G65" s="121"/>
      <c r="H65" s="117">
        <v>1.01</v>
      </c>
      <c r="I65" s="83"/>
      <c r="J65" s="118">
        <f>F65-H65</f>
        <v>-1.0000000000000009E-2</v>
      </c>
      <c r="K65" s="597">
        <v>3.2</v>
      </c>
      <c r="L65" s="716" t="s">
        <v>184</v>
      </c>
    </row>
    <row r="66" spans="3:12" x14ac:dyDescent="0.25">
      <c r="C66" s="68">
        <v>2</v>
      </c>
      <c r="D66" s="646"/>
      <c r="E66" s="646"/>
      <c r="F66" s="123">
        <v>2</v>
      </c>
      <c r="G66" s="121"/>
      <c r="H66" s="117">
        <v>2.02</v>
      </c>
      <c r="I66" s="83"/>
      <c r="J66" s="118">
        <f t="shared" ref="J66:J71" si="4">F66-H66</f>
        <v>-2.0000000000000018E-2</v>
      </c>
      <c r="K66" s="597"/>
      <c r="L66" s="716"/>
    </row>
    <row r="67" spans="3:12" x14ac:dyDescent="0.25">
      <c r="C67" s="68">
        <v>3</v>
      </c>
      <c r="D67" s="646"/>
      <c r="E67" s="646"/>
      <c r="F67" s="123">
        <v>5</v>
      </c>
      <c r="G67" s="121"/>
      <c r="H67" s="117">
        <v>5</v>
      </c>
      <c r="I67" s="83"/>
      <c r="J67" s="118">
        <f t="shared" si="4"/>
        <v>0</v>
      </c>
      <c r="K67" s="597"/>
      <c r="L67" s="716"/>
    </row>
    <row r="68" spans="3:12" x14ac:dyDescent="0.25">
      <c r="C68" s="68">
        <v>4</v>
      </c>
      <c r="D68" s="646"/>
      <c r="E68" s="646"/>
      <c r="F68" s="123">
        <v>10</v>
      </c>
      <c r="G68" s="121"/>
      <c r="H68" s="117">
        <v>10</v>
      </c>
      <c r="I68" s="83"/>
      <c r="J68" s="118">
        <f t="shared" si="4"/>
        <v>0</v>
      </c>
      <c r="K68" s="597"/>
      <c r="L68" s="716"/>
    </row>
    <row r="69" spans="3:12" x14ac:dyDescent="0.25">
      <c r="C69" s="68">
        <v>5</v>
      </c>
      <c r="D69" s="646"/>
      <c r="E69" s="646"/>
      <c r="F69" s="123">
        <v>20</v>
      </c>
      <c r="G69" s="45"/>
      <c r="H69" s="117">
        <v>20.100000000000001</v>
      </c>
      <c r="I69" s="45"/>
      <c r="J69" s="118">
        <f t="shared" si="4"/>
        <v>-0.10000000000000142</v>
      </c>
      <c r="K69" s="597"/>
      <c r="L69" s="716"/>
    </row>
    <row r="70" spans="3:12" x14ac:dyDescent="0.25">
      <c r="C70" s="68">
        <v>6</v>
      </c>
      <c r="D70" s="646"/>
      <c r="E70" s="646"/>
      <c r="F70" s="123">
        <v>50</v>
      </c>
      <c r="G70" s="45"/>
      <c r="H70" s="117">
        <v>50</v>
      </c>
      <c r="I70" s="45"/>
      <c r="J70" s="118">
        <f t="shared" si="4"/>
        <v>0</v>
      </c>
      <c r="K70" s="597"/>
      <c r="L70" s="716"/>
    </row>
    <row r="71" spans="3:12" x14ac:dyDescent="0.25">
      <c r="C71" s="68">
        <v>7</v>
      </c>
      <c r="D71" s="646"/>
      <c r="E71" s="646"/>
      <c r="F71" s="123">
        <v>100</v>
      </c>
      <c r="G71" s="45"/>
      <c r="H71" s="117">
        <v>100</v>
      </c>
      <c r="I71" s="45"/>
      <c r="J71" s="118">
        <f t="shared" si="4"/>
        <v>0</v>
      </c>
      <c r="K71" s="597"/>
      <c r="L71" s="716"/>
    </row>
    <row r="73" spans="3:12" x14ac:dyDescent="0.25">
      <c r="D73" s="87" t="s">
        <v>131</v>
      </c>
      <c r="E73" s="88">
        <f t="array" ref="E73:F77">LINEST(F65:F71,H65:H71,1,1)</f>
        <v>1.0001796623244339</v>
      </c>
      <c r="F73" s="88">
        <v>-2.3399981870820596E-2</v>
      </c>
      <c r="G73" s="89" t="s">
        <v>132</v>
      </c>
    </row>
    <row r="74" spans="3:12" x14ac:dyDescent="0.25">
      <c r="D74" s="87" t="s">
        <v>133</v>
      </c>
      <c r="E74" s="88">
        <v>4.4299550861600588E-4</v>
      </c>
      <c r="F74" s="88">
        <v>1.9115735045388337E-2</v>
      </c>
      <c r="G74" s="89" t="s">
        <v>134</v>
      </c>
    </row>
    <row r="75" spans="3:12" x14ac:dyDescent="0.25">
      <c r="D75" s="87" t="s">
        <v>135</v>
      </c>
      <c r="E75" s="88">
        <v>0.99999901912834221</v>
      </c>
      <c r="F75" s="88">
        <v>3.9568160372424166E-2</v>
      </c>
      <c r="G75" s="89" t="s">
        <v>136</v>
      </c>
    </row>
    <row r="76" spans="3:12" x14ac:dyDescent="0.25">
      <c r="D76" s="87" t="s">
        <v>137</v>
      </c>
      <c r="E76" s="88">
        <v>5097501.8555573458</v>
      </c>
      <c r="F76" s="88">
        <v>5</v>
      </c>
      <c r="G76" s="89" t="s">
        <v>138</v>
      </c>
    </row>
    <row r="77" spans="3:12" x14ac:dyDescent="0.25">
      <c r="D77" s="87" t="s">
        <v>139</v>
      </c>
      <c r="E77" s="88">
        <v>7980.849314660567</v>
      </c>
      <c r="F77" s="88">
        <v>7.828196576289392E-3</v>
      </c>
      <c r="G77" s="89" t="s">
        <v>140</v>
      </c>
    </row>
    <row r="80" spans="3:12" x14ac:dyDescent="0.25">
      <c r="C80" s="25" t="s">
        <v>160</v>
      </c>
    </row>
    <row r="81" spans="3:12" ht="30" customHeight="1" x14ac:dyDescent="0.25">
      <c r="C81" s="159" t="s">
        <v>101</v>
      </c>
      <c r="D81" s="704" t="s">
        <v>154</v>
      </c>
      <c r="E81" s="705"/>
      <c r="F81" s="704" t="s">
        <v>155</v>
      </c>
      <c r="G81" s="705"/>
      <c r="H81" s="706" t="s">
        <v>156</v>
      </c>
      <c r="I81" s="706"/>
      <c r="J81" s="159" t="s">
        <v>111</v>
      </c>
      <c r="K81" s="706" t="s">
        <v>130</v>
      </c>
      <c r="L81" s="706"/>
    </row>
    <row r="82" spans="3:12" x14ac:dyDescent="0.25">
      <c r="C82" s="68">
        <v>1</v>
      </c>
      <c r="D82" s="707">
        <v>10000</v>
      </c>
      <c r="E82" s="708"/>
      <c r="F82" s="120">
        <v>50</v>
      </c>
      <c r="G82" s="121"/>
      <c r="H82" s="123">
        <v>47.4</v>
      </c>
      <c r="I82" s="83"/>
      <c r="J82" s="119">
        <f>H82-F82</f>
        <v>-2.6000000000000014</v>
      </c>
      <c r="K82" s="597">
        <v>3</v>
      </c>
      <c r="L82" s="716" t="s">
        <v>184</v>
      </c>
    </row>
    <row r="83" spans="3:12" x14ac:dyDescent="0.25">
      <c r="C83" s="68">
        <v>2</v>
      </c>
      <c r="D83" s="709"/>
      <c r="E83" s="710"/>
      <c r="F83" s="120">
        <v>100</v>
      </c>
      <c r="G83" s="121"/>
      <c r="H83" s="123">
        <v>97.3</v>
      </c>
      <c r="I83" s="83"/>
      <c r="J83" s="119">
        <f t="shared" ref="J83:J91" si="5">H83-F83</f>
        <v>-2.7000000000000028</v>
      </c>
      <c r="K83" s="597"/>
      <c r="L83" s="716"/>
    </row>
    <row r="84" spans="3:12" x14ac:dyDescent="0.25">
      <c r="C84" s="68">
        <v>3</v>
      </c>
      <c r="D84" s="709"/>
      <c r="E84" s="710"/>
      <c r="F84" s="120">
        <v>200</v>
      </c>
      <c r="G84" s="121"/>
      <c r="H84" s="123">
        <v>197.2</v>
      </c>
      <c r="I84" s="83"/>
      <c r="J84" s="119">
        <f t="shared" si="5"/>
        <v>-2.8000000000000114</v>
      </c>
      <c r="K84" s="597"/>
      <c r="L84" s="716"/>
    </row>
    <row r="85" spans="3:12" x14ac:dyDescent="0.25">
      <c r="C85" s="68">
        <v>4</v>
      </c>
      <c r="D85" s="709"/>
      <c r="E85" s="710"/>
      <c r="F85" s="120">
        <v>500</v>
      </c>
      <c r="G85" s="121"/>
      <c r="H85" s="123">
        <v>496.8</v>
      </c>
      <c r="I85" s="83"/>
      <c r="J85" s="119">
        <f t="shared" si="5"/>
        <v>-3.1999999999999886</v>
      </c>
      <c r="K85" s="597"/>
      <c r="L85" s="716"/>
    </row>
    <row r="86" spans="3:12" x14ac:dyDescent="0.25">
      <c r="C86" s="68">
        <v>5</v>
      </c>
      <c r="D86" s="709"/>
      <c r="E86" s="710"/>
      <c r="F86" s="122">
        <v>1000</v>
      </c>
      <c r="G86" s="45"/>
      <c r="H86" s="122">
        <v>996.1</v>
      </c>
      <c r="I86" s="45"/>
      <c r="J86" s="119">
        <f t="shared" si="5"/>
        <v>-3.8999999999999773</v>
      </c>
      <c r="K86" s="597"/>
      <c r="L86" s="716"/>
    </row>
    <row r="87" spans="3:12" x14ac:dyDescent="0.25">
      <c r="C87" s="68">
        <v>6</v>
      </c>
      <c r="D87" s="709"/>
      <c r="E87" s="710"/>
      <c r="F87" s="122">
        <v>2000</v>
      </c>
      <c r="G87" s="45"/>
      <c r="H87" s="122">
        <v>1994.9</v>
      </c>
      <c r="I87" s="45"/>
      <c r="J87" s="119">
        <f t="shared" si="5"/>
        <v>-5.0999999999999091</v>
      </c>
      <c r="K87" s="597"/>
      <c r="L87" s="716"/>
    </row>
    <row r="88" spans="3:12" x14ac:dyDescent="0.25">
      <c r="C88" s="68">
        <v>7</v>
      </c>
      <c r="D88" s="709"/>
      <c r="E88" s="710"/>
      <c r="F88" s="122">
        <v>4000</v>
      </c>
      <c r="G88" s="45"/>
      <c r="H88" s="122">
        <v>3992.3</v>
      </c>
      <c r="I88" s="45"/>
      <c r="J88" s="119">
        <f t="shared" si="5"/>
        <v>-7.6999999999998181</v>
      </c>
      <c r="K88" s="597"/>
      <c r="L88" s="716"/>
    </row>
    <row r="89" spans="3:12" x14ac:dyDescent="0.25">
      <c r="C89" s="68">
        <v>8</v>
      </c>
      <c r="D89" s="709"/>
      <c r="E89" s="710"/>
      <c r="F89" s="122">
        <v>6000</v>
      </c>
      <c r="G89" s="45"/>
      <c r="H89" s="122">
        <v>5989.7</v>
      </c>
      <c r="I89" s="45"/>
      <c r="J89" s="119">
        <f t="shared" si="5"/>
        <v>-10.300000000000182</v>
      </c>
      <c r="K89" s="597"/>
      <c r="L89" s="716"/>
    </row>
    <row r="90" spans="3:12" x14ac:dyDescent="0.25">
      <c r="C90" s="68">
        <v>9</v>
      </c>
      <c r="D90" s="709"/>
      <c r="E90" s="710"/>
      <c r="F90" s="122">
        <v>8000</v>
      </c>
      <c r="G90" s="45"/>
      <c r="H90" s="122">
        <v>7987.1</v>
      </c>
      <c r="I90" s="45"/>
      <c r="J90" s="119">
        <f t="shared" si="5"/>
        <v>-12.899999999999636</v>
      </c>
      <c r="K90" s="597"/>
      <c r="L90" s="716"/>
    </row>
    <row r="91" spans="3:12" x14ac:dyDescent="0.25">
      <c r="C91" s="68">
        <v>10</v>
      </c>
      <c r="D91" s="711"/>
      <c r="E91" s="712"/>
      <c r="F91" s="122">
        <v>9500</v>
      </c>
      <c r="G91" s="45"/>
      <c r="H91" s="122">
        <v>9485.2000000000007</v>
      </c>
      <c r="I91" s="45"/>
      <c r="J91" s="119">
        <f t="shared" si="5"/>
        <v>-14.799999999999272</v>
      </c>
      <c r="K91" s="597"/>
      <c r="L91" s="716"/>
    </row>
    <row r="93" spans="3:12" x14ac:dyDescent="0.25">
      <c r="D93" s="87" t="s">
        <v>131</v>
      </c>
      <c r="E93" s="88">
        <f t="array" ref="E93:F97">LINEST(H82:H91,F82:F91,1,1)</f>
        <v>0.99870972298551453</v>
      </c>
      <c r="F93" s="88">
        <v>-2.5549815595873042</v>
      </c>
      <c r="G93" s="89" t="s">
        <v>132</v>
      </c>
    </row>
    <row r="94" spans="3:12" x14ac:dyDescent="0.25">
      <c r="D94" s="87" t="s">
        <v>133</v>
      </c>
      <c r="E94" s="88">
        <v>2.5762666486654701E-6</v>
      </c>
      <c r="F94" s="88">
        <v>1.1849496371533539E-2</v>
      </c>
      <c r="G94" s="89" t="s">
        <v>134</v>
      </c>
    </row>
    <row r="95" spans="3:12" x14ac:dyDescent="0.25">
      <c r="D95" s="87" t="s">
        <v>135</v>
      </c>
      <c r="E95" s="88">
        <v>0.99999999994676547</v>
      </c>
      <c r="F95" s="88">
        <v>2.741881876072632E-2</v>
      </c>
      <c r="G95" s="89" t="s">
        <v>136</v>
      </c>
    </row>
    <row r="96" spans="3:12" x14ac:dyDescent="0.25">
      <c r="D96" s="87" t="s">
        <v>137</v>
      </c>
      <c r="E96" s="88">
        <v>150278528295.28735</v>
      </c>
      <c r="F96" s="88">
        <v>8</v>
      </c>
      <c r="G96" s="89" t="s">
        <v>138</v>
      </c>
    </row>
    <row r="97" spans="1:17" x14ac:dyDescent="0.25">
      <c r="D97" s="87" t="s">
        <v>139</v>
      </c>
      <c r="E97" s="88">
        <v>112978138.57398568</v>
      </c>
      <c r="F97" s="88">
        <v>6.0143329778684614E-3</v>
      </c>
      <c r="G97" s="89" t="s">
        <v>140</v>
      </c>
    </row>
    <row r="100" spans="1:17" x14ac:dyDescent="0.25">
      <c r="A100" s="24" t="s">
        <v>28</v>
      </c>
      <c r="B100" s="91" t="s">
        <v>6</v>
      </c>
      <c r="C100" s="24" t="s">
        <v>30</v>
      </c>
    </row>
    <row r="101" spans="1:17" x14ac:dyDescent="0.25">
      <c r="A101" s="24" t="s">
        <v>11</v>
      </c>
      <c r="B101" s="91" t="s">
        <v>6</v>
      </c>
      <c r="C101" s="24" t="s">
        <v>183</v>
      </c>
    </row>
    <row r="102" spans="1:17" x14ac:dyDescent="0.25">
      <c r="A102" s="24" t="s">
        <v>141</v>
      </c>
      <c r="B102" s="91" t="s">
        <v>6</v>
      </c>
      <c r="C102" s="24" t="s">
        <v>378</v>
      </c>
    </row>
    <row r="103" spans="1:17" x14ac:dyDescent="0.25">
      <c r="A103" s="24" t="s">
        <v>18</v>
      </c>
      <c r="B103" s="91" t="s">
        <v>6</v>
      </c>
      <c r="C103" s="24" t="s">
        <v>379</v>
      </c>
    </row>
    <row r="104" spans="1:17" x14ac:dyDescent="0.25">
      <c r="A104" s="24" t="s">
        <v>16</v>
      </c>
      <c r="B104" s="91" t="s">
        <v>6</v>
      </c>
      <c r="C104" s="92" t="s">
        <v>380</v>
      </c>
    </row>
    <row r="105" spans="1:17" x14ac:dyDescent="0.25">
      <c r="A105" s="24" t="s">
        <v>142</v>
      </c>
      <c r="B105" s="91" t="s">
        <v>6</v>
      </c>
      <c r="C105" s="24" t="s">
        <v>162</v>
      </c>
    </row>
    <row r="106" spans="1:17" x14ac:dyDescent="0.25">
      <c r="A106" s="24" t="s">
        <v>143</v>
      </c>
      <c r="B106" s="91" t="s">
        <v>6</v>
      </c>
      <c r="C106" s="24" t="s">
        <v>162</v>
      </c>
    </row>
    <row r="107" spans="1:17" x14ac:dyDescent="0.25">
      <c r="A107" s="24"/>
      <c r="B107" s="91"/>
      <c r="C107" s="24"/>
    </row>
    <row r="108" spans="1:17" x14ac:dyDescent="0.25">
      <c r="A108" s="25" t="s">
        <v>381</v>
      </c>
    </row>
    <row r="109" spans="1:17" ht="14.4" x14ac:dyDescent="0.3">
      <c r="C109" s="38" t="s">
        <v>101</v>
      </c>
      <c r="D109" s="38" t="s">
        <v>125</v>
      </c>
      <c r="E109" s="38" t="s">
        <v>129</v>
      </c>
      <c r="F109" s="38" t="s">
        <v>111</v>
      </c>
      <c r="G109" s="38" t="s">
        <v>247</v>
      </c>
      <c r="I109" t="s">
        <v>344</v>
      </c>
      <c r="J109"/>
      <c r="K109"/>
      <c r="L109"/>
      <c r="M109"/>
      <c r="N109"/>
      <c r="O109"/>
      <c r="P109"/>
      <c r="Q109"/>
    </row>
    <row r="110" spans="1:17" ht="15" thickBot="1" x14ac:dyDescent="0.35">
      <c r="A110" s="78"/>
      <c r="B110" s="78"/>
      <c r="C110" s="296">
        <v>1</v>
      </c>
      <c r="D110" s="296">
        <v>0.2</v>
      </c>
      <c r="E110" s="296">
        <v>0.193</v>
      </c>
      <c r="F110" s="296">
        <f>D110-E110</f>
        <v>7.0000000000000062E-3</v>
      </c>
      <c r="G110" s="296">
        <v>8.9999999999999998E-4</v>
      </c>
      <c r="H110" s="220"/>
      <c r="I110"/>
      <c r="J110"/>
      <c r="K110"/>
      <c r="L110"/>
      <c r="M110"/>
      <c r="N110"/>
      <c r="O110"/>
      <c r="P110"/>
      <c r="Q110"/>
    </row>
    <row r="111" spans="1:17" ht="14.4" x14ac:dyDescent="0.3">
      <c r="C111" s="67">
        <v>2</v>
      </c>
      <c r="D111" s="280">
        <v>1</v>
      </c>
      <c r="E111" s="279">
        <v>0.94</v>
      </c>
      <c r="F111" s="296">
        <f t="shared" ref="F111:F113" si="6">D111-E111</f>
        <v>6.0000000000000053E-2</v>
      </c>
      <c r="G111" s="67">
        <v>5.4999999999999997E-3</v>
      </c>
      <c r="H111" s="224"/>
      <c r="I111" s="299" t="s">
        <v>345</v>
      </c>
      <c r="J111" s="299"/>
      <c r="K111"/>
      <c r="L111"/>
      <c r="M111"/>
      <c r="N111"/>
      <c r="O111"/>
      <c r="P111"/>
      <c r="Q111"/>
    </row>
    <row r="112" spans="1:17" ht="14.4" x14ac:dyDescent="0.3">
      <c r="C112" s="67">
        <v>3</v>
      </c>
      <c r="D112" s="280">
        <v>2</v>
      </c>
      <c r="E112" s="279">
        <v>1.93</v>
      </c>
      <c r="F112" s="296">
        <f t="shared" si="6"/>
        <v>7.0000000000000062E-2</v>
      </c>
      <c r="G112" s="67">
        <v>8.6999999999999994E-3</v>
      </c>
      <c r="H112" s="224"/>
      <c r="I112" t="s">
        <v>346</v>
      </c>
      <c r="J112">
        <v>0.99998997841744597</v>
      </c>
      <c r="K112"/>
      <c r="L112"/>
      <c r="M112"/>
      <c r="N112"/>
      <c r="O112"/>
      <c r="P112"/>
      <c r="Q112"/>
    </row>
    <row r="113" spans="1:17" ht="14.4" x14ac:dyDescent="0.3">
      <c r="C113" s="67">
        <v>4</v>
      </c>
      <c r="D113" s="280">
        <v>10</v>
      </c>
      <c r="E113" s="279">
        <v>9.85</v>
      </c>
      <c r="F113" s="296">
        <f t="shared" si="6"/>
        <v>0.15000000000000036</v>
      </c>
      <c r="G113" s="67">
        <v>5.2999999999999999E-2</v>
      </c>
      <c r="H113" s="224"/>
      <c r="I113" t="s">
        <v>347</v>
      </c>
      <c r="J113">
        <v>0.99997995693532415</v>
      </c>
      <c r="K113"/>
      <c r="L113"/>
      <c r="M113"/>
      <c r="N113"/>
      <c r="O113"/>
      <c r="P113"/>
      <c r="Q113"/>
    </row>
    <row r="114" spans="1:17" ht="14.4" x14ac:dyDescent="0.3">
      <c r="C114" s="77"/>
      <c r="D114" s="105"/>
      <c r="E114" s="76"/>
      <c r="F114" s="78"/>
      <c r="G114" s="77"/>
      <c r="I114" t="s">
        <v>348</v>
      </c>
      <c r="J114">
        <v>0.99996993540298629</v>
      </c>
      <c r="K114"/>
      <c r="L114"/>
      <c r="M114"/>
      <c r="N114"/>
      <c r="O114"/>
      <c r="P114"/>
      <c r="Q114"/>
    </row>
    <row r="115" spans="1:17" ht="14.4" x14ac:dyDescent="0.3">
      <c r="C115" s="77"/>
      <c r="D115" s="105"/>
      <c r="E115" s="76"/>
      <c r="F115" s="78"/>
      <c r="G115" s="77"/>
      <c r="I115" t="s">
        <v>349</v>
      </c>
      <c r="J115">
        <v>2.4517547126727334E-2</v>
      </c>
      <c r="K115"/>
      <c r="L115"/>
      <c r="M115"/>
      <c r="N115"/>
      <c r="O115"/>
      <c r="P115"/>
      <c r="Q115"/>
    </row>
    <row r="116" spans="1:17" ht="15" thickBot="1" x14ac:dyDescent="0.35">
      <c r="C116" s="77"/>
      <c r="D116" s="105"/>
      <c r="E116" s="76"/>
      <c r="F116" s="78"/>
      <c r="G116" s="77"/>
      <c r="I116" s="297" t="s">
        <v>350</v>
      </c>
      <c r="J116" s="297">
        <v>4</v>
      </c>
      <c r="K116"/>
      <c r="L116"/>
      <c r="M116"/>
      <c r="N116"/>
      <c r="O116"/>
      <c r="P116"/>
      <c r="Q116"/>
    </row>
    <row r="117" spans="1:17" ht="14.4" x14ac:dyDescent="0.3">
      <c r="C117" s="77"/>
      <c r="D117" s="105"/>
      <c r="E117" s="76"/>
      <c r="F117" s="78"/>
      <c r="G117" s="77"/>
      <c r="I117"/>
      <c r="J117"/>
      <c r="K117"/>
      <c r="L117"/>
      <c r="M117"/>
      <c r="N117"/>
      <c r="O117"/>
      <c r="P117"/>
      <c r="Q117"/>
    </row>
    <row r="118" spans="1:17" ht="15" thickBot="1" x14ac:dyDescent="0.35">
      <c r="C118" s="77"/>
      <c r="D118" s="105"/>
      <c r="E118" s="76"/>
      <c r="F118" s="78"/>
      <c r="G118" s="77"/>
      <c r="I118" t="s">
        <v>351</v>
      </c>
      <c r="J118"/>
      <c r="K118"/>
      <c r="L118"/>
      <c r="M118"/>
      <c r="N118"/>
      <c r="O118"/>
      <c r="P118"/>
      <c r="Q118"/>
    </row>
    <row r="119" spans="1:17" ht="14.4" x14ac:dyDescent="0.3">
      <c r="C119" s="77"/>
      <c r="D119" s="105"/>
      <c r="E119" s="76"/>
      <c r="F119" s="78"/>
      <c r="G119" s="77"/>
      <c r="I119" s="298"/>
      <c r="J119" s="298" t="s">
        <v>356</v>
      </c>
      <c r="K119" s="298" t="s">
        <v>357</v>
      </c>
      <c r="L119" s="298" t="s">
        <v>358</v>
      </c>
      <c r="M119" s="298" t="s">
        <v>359</v>
      </c>
      <c r="N119" s="298" t="s">
        <v>360</v>
      </c>
      <c r="O119"/>
      <c r="P119"/>
      <c r="Q119"/>
    </row>
    <row r="120" spans="1:17" ht="14.4" x14ac:dyDescent="0.3">
      <c r="C120" s="77"/>
      <c r="D120" s="105"/>
      <c r="E120" s="76"/>
      <c r="F120" s="78"/>
      <c r="G120" s="77"/>
      <c r="I120" t="s">
        <v>352</v>
      </c>
      <c r="J120">
        <v>1</v>
      </c>
      <c r="K120">
        <v>59.980654529765779</v>
      </c>
      <c r="L120">
        <v>59.980654529765779</v>
      </c>
      <c r="M120">
        <v>99783.139265746766</v>
      </c>
      <c r="N120">
        <v>1.002158255402322E-5</v>
      </c>
      <c r="O120"/>
      <c r="P120"/>
      <c r="Q120"/>
    </row>
    <row r="121" spans="1:17" ht="14.4" x14ac:dyDescent="0.3">
      <c r="C121" s="77"/>
      <c r="D121" s="105"/>
      <c r="E121" s="76"/>
      <c r="F121" s="78"/>
      <c r="G121" s="77"/>
      <c r="I121" t="s">
        <v>353</v>
      </c>
      <c r="J121">
        <v>2</v>
      </c>
      <c r="K121">
        <v>1.2022202342225916E-3</v>
      </c>
      <c r="L121">
        <v>6.0111011711129578E-4</v>
      </c>
      <c r="M121"/>
      <c r="N121"/>
      <c r="O121"/>
      <c r="P121"/>
      <c r="Q121"/>
    </row>
    <row r="122" spans="1:17" ht="15" thickBot="1" x14ac:dyDescent="0.35">
      <c r="C122" s="77"/>
      <c r="D122" s="105"/>
      <c r="E122" s="76"/>
      <c r="F122" s="78"/>
      <c r="G122" s="77"/>
      <c r="I122" s="297" t="s">
        <v>354</v>
      </c>
      <c r="J122" s="297">
        <v>3</v>
      </c>
      <c r="K122" s="297">
        <v>59.981856749999999</v>
      </c>
      <c r="L122" s="297"/>
      <c r="M122" s="297"/>
      <c r="N122" s="297"/>
      <c r="O122"/>
      <c r="P122"/>
      <c r="Q122"/>
    </row>
    <row r="123" spans="1:17" ht="15" thickBot="1" x14ac:dyDescent="0.35">
      <c r="C123" s="77"/>
      <c r="D123" s="105"/>
      <c r="E123" s="76"/>
      <c r="F123" s="78"/>
      <c r="G123" s="77"/>
      <c r="I123"/>
      <c r="J123"/>
      <c r="K123"/>
      <c r="L123"/>
      <c r="M123"/>
      <c r="N123"/>
      <c r="O123"/>
      <c r="P123"/>
      <c r="Q123"/>
    </row>
    <row r="124" spans="1:17" ht="14.4" x14ac:dyDescent="0.3">
      <c r="C124" s="77"/>
      <c r="D124" s="105"/>
      <c r="E124" s="76"/>
      <c r="F124" s="78"/>
      <c r="G124" s="77"/>
      <c r="H124" s="220"/>
      <c r="I124" s="298"/>
      <c r="J124" s="298" t="s">
        <v>361</v>
      </c>
      <c r="K124" s="298" t="s">
        <v>349</v>
      </c>
      <c r="L124" s="298" t="s">
        <v>362</v>
      </c>
      <c r="M124" s="298" t="s">
        <v>363</v>
      </c>
      <c r="N124" s="298" t="s">
        <v>364</v>
      </c>
      <c r="O124" s="298" t="s">
        <v>365</v>
      </c>
      <c r="P124" s="298" t="s">
        <v>366</v>
      </c>
      <c r="Q124" s="298" t="s">
        <v>367</v>
      </c>
    </row>
    <row r="125" spans="1:17" ht="14.4" x14ac:dyDescent="0.3">
      <c r="C125" s="77"/>
      <c r="D125" s="105"/>
      <c r="E125" s="76"/>
      <c r="F125" s="78"/>
      <c r="G125" s="77"/>
      <c r="H125" s="35"/>
      <c r="I125" s="300" t="s">
        <v>355</v>
      </c>
      <c r="J125" s="300">
        <v>-3.1262199089134857E-2</v>
      </c>
      <c r="K125">
        <v>1.602350241746648E-2</v>
      </c>
      <c r="L125">
        <v>-1.9510215853343884</v>
      </c>
      <c r="M125">
        <v>0.19033491520737134</v>
      </c>
      <c r="N125">
        <v>-0.10020576550579413</v>
      </c>
      <c r="O125">
        <v>3.7681367327524418E-2</v>
      </c>
      <c r="P125">
        <v>-0.10020576550579413</v>
      </c>
      <c r="Q125">
        <v>3.7681367327524418E-2</v>
      </c>
    </row>
    <row r="126" spans="1:17" ht="15" thickBot="1" x14ac:dyDescent="0.35">
      <c r="C126" s="77"/>
      <c r="D126" s="105"/>
      <c r="E126" s="76"/>
      <c r="F126" s="78"/>
      <c r="G126" s="77"/>
      <c r="H126" s="35"/>
      <c r="I126" s="301" t="s">
        <v>368</v>
      </c>
      <c r="J126" s="301">
        <v>0.98773096942095007</v>
      </c>
      <c r="K126" s="297">
        <v>3.1268718976846265E-3</v>
      </c>
      <c r="L126" s="297">
        <v>315.88469299057027</v>
      </c>
      <c r="M126" s="297">
        <v>1.0021582554023212E-5</v>
      </c>
      <c r="N126" s="297">
        <v>0.97427712551480039</v>
      </c>
      <c r="O126" s="297">
        <v>1.0011848133270997</v>
      </c>
      <c r="P126" s="297">
        <v>0.97427712551480039</v>
      </c>
      <c r="Q126" s="297">
        <v>1.0011848133270997</v>
      </c>
    </row>
    <row r="127" spans="1:17" ht="14.4" x14ac:dyDescent="0.3">
      <c r="H127" s="35"/>
      <c r="I127"/>
      <c r="J127"/>
      <c r="K127"/>
      <c r="L127"/>
      <c r="M127"/>
      <c r="N127"/>
      <c r="O127"/>
      <c r="P127"/>
      <c r="Q127"/>
    </row>
    <row r="128" spans="1:17" ht="14.4" x14ac:dyDescent="0.3">
      <c r="A128" s="25" t="s">
        <v>382</v>
      </c>
      <c r="C128" s="38" t="s">
        <v>101</v>
      </c>
      <c r="D128" s="38" t="s">
        <v>125</v>
      </c>
      <c r="E128" s="38" t="s">
        <v>129</v>
      </c>
      <c r="F128" s="38" t="s">
        <v>111</v>
      </c>
      <c r="G128" s="38" t="s">
        <v>247</v>
      </c>
      <c r="H128" s="35"/>
      <c r="I128" t="s">
        <v>344</v>
      </c>
      <c r="J128"/>
      <c r="K128"/>
      <c r="L128"/>
      <c r="M128"/>
      <c r="N128"/>
      <c r="O128"/>
      <c r="P128"/>
      <c r="Q128"/>
    </row>
    <row r="129" spans="3:17" ht="15" thickBot="1" x14ac:dyDescent="0.35">
      <c r="C129" s="296">
        <v>1</v>
      </c>
      <c r="D129" s="296">
        <v>20</v>
      </c>
      <c r="E129" s="296">
        <v>25.4</v>
      </c>
      <c r="F129" s="296">
        <f>D129-E129</f>
        <v>-5.3999999999999986</v>
      </c>
      <c r="G129" s="296">
        <v>1</v>
      </c>
      <c r="H129" s="35"/>
      <c r="I129"/>
      <c r="J129"/>
      <c r="K129"/>
      <c r="L129"/>
      <c r="M129"/>
      <c r="N129"/>
      <c r="O129"/>
      <c r="P129"/>
      <c r="Q129"/>
    </row>
    <row r="130" spans="3:17" ht="14.4" x14ac:dyDescent="0.3">
      <c r="C130" s="67">
        <v>2</v>
      </c>
      <c r="D130" s="280">
        <v>100</v>
      </c>
      <c r="E130" s="279">
        <v>107</v>
      </c>
      <c r="F130" s="296">
        <f t="shared" ref="F130:F133" si="7">D130-E130</f>
        <v>-7</v>
      </c>
      <c r="G130" s="67">
        <v>1.3</v>
      </c>
      <c r="I130" s="299" t="s">
        <v>345</v>
      </c>
      <c r="J130" s="299"/>
      <c r="K130"/>
      <c r="L130"/>
      <c r="M130"/>
      <c r="N130"/>
      <c r="O130"/>
      <c r="P130"/>
      <c r="Q130"/>
    </row>
    <row r="131" spans="3:17" ht="14.4" x14ac:dyDescent="0.3">
      <c r="C131" s="67">
        <v>3</v>
      </c>
      <c r="D131" s="280">
        <v>500</v>
      </c>
      <c r="E131" s="279">
        <v>515</v>
      </c>
      <c r="F131" s="296">
        <f t="shared" si="7"/>
        <v>-15</v>
      </c>
      <c r="G131" s="67">
        <v>2.6</v>
      </c>
      <c r="I131" t="s">
        <v>346</v>
      </c>
      <c r="J131">
        <v>1</v>
      </c>
      <c r="K131"/>
      <c r="L131"/>
      <c r="M131"/>
      <c r="N131"/>
      <c r="O131"/>
      <c r="P131"/>
      <c r="Q131"/>
    </row>
    <row r="132" spans="3:17" ht="14.4" x14ac:dyDescent="0.3">
      <c r="C132" s="67">
        <v>4</v>
      </c>
      <c r="D132" s="280">
        <v>2000</v>
      </c>
      <c r="E132" s="279">
        <v>2045</v>
      </c>
      <c r="F132" s="296">
        <f t="shared" si="7"/>
        <v>-45</v>
      </c>
      <c r="G132" s="67">
        <v>13</v>
      </c>
      <c r="I132" t="s">
        <v>347</v>
      </c>
      <c r="J132">
        <v>1</v>
      </c>
      <c r="K132"/>
      <c r="L132"/>
      <c r="M132"/>
      <c r="N132"/>
      <c r="O132"/>
      <c r="P132"/>
      <c r="Q132"/>
    </row>
    <row r="133" spans="3:17" ht="14.4" x14ac:dyDescent="0.3">
      <c r="C133" s="67">
        <v>5</v>
      </c>
      <c r="D133" s="280">
        <v>5000</v>
      </c>
      <c r="E133" s="279">
        <v>5105</v>
      </c>
      <c r="F133" s="296">
        <f t="shared" si="7"/>
        <v>-105</v>
      </c>
      <c r="G133" s="67">
        <v>20</v>
      </c>
      <c r="I133" t="s">
        <v>348</v>
      </c>
      <c r="J133">
        <v>1</v>
      </c>
      <c r="K133"/>
      <c r="L133"/>
      <c r="M133"/>
      <c r="N133"/>
      <c r="O133"/>
      <c r="P133"/>
      <c r="Q133"/>
    </row>
    <row r="134" spans="3:17" ht="14.4" x14ac:dyDescent="0.3">
      <c r="C134" s="77"/>
      <c r="D134" s="105"/>
      <c r="E134" s="76"/>
      <c r="F134" s="78"/>
      <c r="G134" s="77"/>
      <c r="I134" t="s">
        <v>349</v>
      </c>
      <c r="J134">
        <v>2.7847474288855413E-13</v>
      </c>
      <c r="K134"/>
      <c r="L134"/>
      <c r="M134"/>
      <c r="N134"/>
      <c r="O134"/>
      <c r="P134"/>
      <c r="Q134"/>
    </row>
    <row r="135" spans="3:17" ht="15" thickBot="1" x14ac:dyDescent="0.35">
      <c r="C135" s="77"/>
      <c r="D135" s="105"/>
      <c r="E135" s="76"/>
      <c r="F135" s="78"/>
      <c r="G135" s="77"/>
      <c r="I135" s="297" t="s">
        <v>350</v>
      </c>
      <c r="J135" s="297">
        <v>5</v>
      </c>
      <c r="K135"/>
      <c r="L135"/>
      <c r="M135"/>
      <c r="N135"/>
      <c r="O135"/>
      <c r="P135"/>
      <c r="Q135"/>
    </row>
    <row r="136" spans="3:17" ht="14.4" x14ac:dyDescent="0.3">
      <c r="C136" s="77"/>
      <c r="D136" s="105"/>
      <c r="E136" s="76"/>
      <c r="F136" s="78"/>
      <c r="G136" s="77"/>
      <c r="I136"/>
      <c r="J136"/>
      <c r="K136"/>
      <c r="L136"/>
      <c r="M136"/>
      <c r="N136"/>
      <c r="O136"/>
      <c r="P136"/>
      <c r="Q136"/>
    </row>
    <row r="137" spans="3:17" ht="15" thickBot="1" x14ac:dyDescent="0.35">
      <c r="C137" s="77"/>
      <c r="D137" s="105"/>
      <c r="E137" s="76"/>
      <c r="F137" s="78"/>
      <c r="G137" s="77"/>
      <c r="I137" t="s">
        <v>351</v>
      </c>
      <c r="J137"/>
      <c r="K137"/>
      <c r="L137"/>
      <c r="M137"/>
      <c r="N137"/>
      <c r="O137"/>
      <c r="P137"/>
      <c r="Q137"/>
    </row>
    <row r="138" spans="3:17" ht="14.4" x14ac:dyDescent="0.3">
      <c r="C138" s="77"/>
      <c r="D138" s="105"/>
      <c r="E138" s="76"/>
      <c r="F138" s="78"/>
      <c r="G138" s="77"/>
      <c r="I138" s="298"/>
      <c r="J138" s="298" t="s">
        <v>356</v>
      </c>
      <c r="K138" s="298" t="s">
        <v>357</v>
      </c>
      <c r="L138" s="298" t="s">
        <v>358</v>
      </c>
      <c r="M138" s="298" t="s">
        <v>359</v>
      </c>
      <c r="N138" s="298" t="s">
        <v>360</v>
      </c>
      <c r="O138"/>
      <c r="P138"/>
      <c r="Q138"/>
    </row>
    <row r="139" spans="3:17" ht="14.4" x14ac:dyDescent="0.3">
      <c r="C139" s="77"/>
      <c r="D139" s="105"/>
      <c r="E139" s="76"/>
      <c r="F139" s="78"/>
      <c r="G139" s="77"/>
      <c r="I139" t="s">
        <v>352</v>
      </c>
      <c r="J139">
        <v>1</v>
      </c>
      <c r="K139">
        <v>18360479.807999998</v>
      </c>
      <c r="L139">
        <v>18360479.807999998</v>
      </c>
      <c r="M139">
        <v>2.3676221973764532E+32</v>
      </c>
      <c r="N139">
        <v>6.0534385968372444E-49</v>
      </c>
      <c r="O139"/>
      <c r="P139"/>
      <c r="Q139"/>
    </row>
    <row r="140" spans="3:17" ht="14.4" x14ac:dyDescent="0.3">
      <c r="C140" s="77"/>
      <c r="D140" s="105"/>
      <c r="E140" s="76"/>
      <c r="F140" s="78"/>
      <c r="G140" s="77"/>
      <c r="I140" t="s">
        <v>353</v>
      </c>
      <c r="J140">
        <v>3</v>
      </c>
      <c r="K140">
        <v>2.3264454728053903E-25</v>
      </c>
      <c r="L140">
        <v>7.7548182426846345E-26</v>
      </c>
      <c r="M140"/>
      <c r="N140"/>
      <c r="O140"/>
      <c r="P140"/>
      <c r="Q140"/>
    </row>
    <row r="141" spans="3:17" ht="15" thickBot="1" x14ac:dyDescent="0.35">
      <c r="C141" s="77"/>
      <c r="D141" s="105"/>
      <c r="E141" s="76"/>
      <c r="F141" s="78"/>
      <c r="G141" s="77"/>
      <c r="I141" s="297" t="s">
        <v>354</v>
      </c>
      <c r="J141" s="297">
        <v>4</v>
      </c>
      <c r="K141" s="297">
        <v>18360479.807999998</v>
      </c>
      <c r="L141" s="297"/>
      <c r="M141" s="297"/>
      <c r="N141" s="297"/>
      <c r="O141"/>
      <c r="P141"/>
      <c r="Q141"/>
    </row>
    <row r="142" spans="3:17" ht="15" thickBot="1" x14ac:dyDescent="0.35">
      <c r="C142" s="77"/>
      <c r="D142" s="105"/>
      <c r="E142" s="76"/>
      <c r="F142" s="78"/>
      <c r="G142" s="77"/>
      <c r="I142"/>
      <c r="J142"/>
      <c r="K142"/>
      <c r="L142"/>
      <c r="M142"/>
      <c r="N142"/>
      <c r="O142"/>
      <c r="P142"/>
      <c r="Q142"/>
    </row>
    <row r="143" spans="3:17" ht="14.4" x14ac:dyDescent="0.3">
      <c r="C143" s="77"/>
      <c r="D143" s="105"/>
      <c r="E143" s="76"/>
      <c r="F143" s="78"/>
      <c r="G143" s="77"/>
      <c r="I143" s="298"/>
      <c r="J143" s="298" t="s">
        <v>361</v>
      </c>
      <c r="K143" s="298" t="s">
        <v>349</v>
      </c>
      <c r="L143" s="298" t="s">
        <v>362</v>
      </c>
      <c r="M143" s="298" t="s">
        <v>363</v>
      </c>
      <c r="N143" s="298" t="s">
        <v>364</v>
      </c>
      <c r="O143" s="298" t="s">
        <v>365</v>
      </c>
      <c r="P143" s="298" t="s">
        <v>366</v>
      </c>
      <c r="Q143" s="298" t="s">
        <v>367</v>
      </c>
    </row>
    <row r="144" spans="3:17" ht="14.4" x14ac:dyDescent="0.3">
      <c r="C144" s="77"/>
      <c r="D144" s="105"/>
      <c r="E144" s="76"/>
      <c r="F144" s="78"/>
      <c r="G144" s="77"/>
      <c r="I144" s="300" t="s">
        <v>355</v>
      </c>
      <c r="J144" s="300">
        <v>5.0000000000006821</v>
      </c>
      <c r="K144">
        <v>1.6036112616076606E-13</v>
      </c>
      <c r="L144">
        <v>31179626382693.625</v>
      </c>
      <c r="M144">
        <v>7.2754192603504067E-41</v>
      </c>
      <c r="N144">
        <v>5.0000000000001714</v>
      </c>
      <c r="O144">
        <v>5.0000000000011928</v>
      </c>
      <c r="P144">
        <v>5.0000000000001714</v>
      </c>
      <c r="Q144">
        <v>5.0000000000011928</v>
      </c>
    </row>
    <row r="145" spans="1:17" ht="15" thickBot="1" x14ac:dyDescent="0.35">
      <c r="C145" s="77"/>
      <c r="D145" s="105"/>
      <c r="E145" s="76"/>
      <c r="F145" s="78"/>
      <c r="G145" s="77"/>
      <c r="I145" s="301" t="s">
        <v>368</v>
      </c>
      <c r="J145" s="301">
        <v>1.0199999999999996</v>
      </c>
      <c r="K145" s="297">
        <v>6.6289382007583459E-17</v>
      </c>
      <c r="L145" s="297">
        <v>1.5387079636423708E+16</v>
      </c>
      <c r="M145" s="297">
        <v>6.0534385968372444E-49</v>
      </c>
      <c r="N145" s="297">
        <v>1.0199999999999994</v>
      </c>
      <c r="O145" s="297">
        <v>1.0199999999999998</v>
      </c>
      <c r="P145" s="297">
        <v>1.0199999999999994</v>
      </c>
      <c r="Q145" s="297">
        <v>1.0199999999999998</v>
      </c>
    </row>
    <row r="146" spans="1:17" ht="14.4" x14ac:dyDescent="0.3">
      <c r="C146" s="77"/>
      <c r="D146" s="105"/>
      <c r="E146" s="76"/>
      <c r="F146" s="78"/>
      <c r="G146" s="77"/>
      <c r="I146"/>
      <c r="J146"/>
      <c r="K146"/>
      <c r="L146"/>
      <c r="M146"/>
      <c r="N146"/>
      <c r="O146"/>
      <c r="P146"/>
      <c r="Q146"/>
    </row>
    <row r="147" spans="1:17" x14ac:dyDescent="0.25">
      <c r="A147" s="25" t="s">
        <v>383</v>
      </c>
      <c r="J147" s="353"/>
      <c r="K147" s="41"/>
      <c r="L147" s="354"/>
    </row>
    <row r="148" spans="1:17" ht="14.4" x14ac:dyDescent="0.3">
      <c r="C148" s="38" t="s">
        <v>101</v>
      </c>
      <c r="D148" s="38" t="s">
        <v>125</v>
      </c>
      <c r="E148" s="38" t="s">
        <v>129</v>
      </c>
      <c r="F148" s="38" t="s">
        <v>111</v>
      </c>
      <c r="G148" s="38" t="s">
        <v>247</v>
      </c>
      <c r="I148" t="s">
        <v>344</v>
      </c>
      <c r="J148"/>
      <c r="K148"/>
      <c r="L148"/>
      <c r="M148"/>
      <c r="N148"/>
      <c r="O148"/>
      <c r="P148"/>
      <c r="Q148"/>
    </row>
    <row r="149" spans="1:17" ht="15" thickBot="1" x14ac:dyDescent="0.35">
      <c r="A149" s="93"/>
      <c r="B149" s="93"/>
      <c r="C149" s="296">
        <v>1</v>
      </c>
      <c r="D149" s="296">
        <v>20</v>
      </c>
      <c r="E149" s="296">
        <v>14.6</v>
      </c>
      <c r="F149" s="296">
        <f>D149-E149</f>
        <v>5.4</v>
      </c>
      <c r="G149" s="296">
        <v>1</v>
      </c>
      <c r="I149"/>
      <c r="J149"/>
      <c r="K149"/>
      <c r="L149"/>
      <c r="M149"/>
      <c r="N149"/>
      <c r="O149"/>
      <c r="P149"/>
      <c r="Q149"/>
    </row>
    <row r="150" spans="1:17" ht="14.4" x14ac:dyDescent="0.3">
      <c r="C150" s="67">
        <v>2</v>
      </c>
      <c r="D150" s="280">
        <v>100</v>
      </c>
      <c r="E150" s="279">
        <v>93</v>
      </c>
      <c r="F150" s="296">
        <f t="shared" ref="F150:F153" si="8">D150-E150</f>
        <v>7</v>
      </c>
      <c r="G150" s="67">
        <v>1.3</v>
      </c>
      <c r="I150" s="299" t="s">
        <v>345</v>
      </c>
      <c r="J150" s="299"/>
      <c r="K150"/>
      <c r="L150"/>
      <c r="M150"/>
      <c r="N150"/>
      <c r="O150"/>
      <c r="P150"/>
      <c r="Q150"/>
    </row>
    <row r="151" spans="1:17" ht="14.4" x14ac:dyDescent="0.3">
      <c r="C151" s="67">
        <v>3</v>
      </c>
      <c r="D151" s="280">
        <v>500</v>
      </c>
      <c r="E151" s="279">
        <v>485</v>
      </c>
      <c r="F151" s="296">
        <f t="shared" si="8"/>
        <v>15</v>
      </c>
      <c r="G151" s="67">
        <v>2.6</v>
      </c>
      <c r="I151" t="s">
        <v>346</v>
      </c>
      <c r="J151">
        <v>1</v>
      </c>
      <c r="K151"/>
      <c r="L151"/>
      <c r="M151"/>
      <c r="N151"/>
      <c r="O151"/>
      <c r="P151"/>
      <c r="Q151"/>
    </row>
    <row r="152" spans="1:17" ht="14.4" x14ac:dyDescent="0.3">
      <c r="C152" s="67">
        <v>4</v>
      </c>
      <c r="D152" s="280">
        <v>2000</v>
      </c>
      <c r="E152" s="279">
        <v>1955</v>
      </c>
      <c r="F152" s="296">
        <f t="shared" si="8"/>
        <v>45</v>
      </c>
      <c r="G152" s="67">
        <v>13</v>
      </c>
      <c r="I152" t="s">
        <v>347</v>
      </c>
      <c r="J152">
        <v>1</v>
      </c>
      <c r="K152"/>
      <c r="L152"/>
      <c r="M152"/>
      <c r="N152"/>
      <c r="O152"/>
      <c r="P152"/>
      <c r="Q152"/>
    </row>
    <row r="153" spans="1:17" ht="14.4" x14ac:dyDescent="0.3">
      <c r="C153" s="67">
        <v>5</v>
      </c>
      <c r="D153" s="280">
        <v>5000</v>
      </c>
      <c r="E153" s="279">
        <v>4895</v>
      </c>
      <c r="F153" s="296">
        <f t="shared" si="8"/>
        <v>105</v>
      </c>
      <c r="G153" s="67">
        <v>20</v>
      </c>
      <c r="I153" t="s">
        <v>348</v>
      </c>
      <c r="J153">
        <v>1</v>
      </c>
      <c r="K153"/>
      <c r="L153"/>
      <c r="M153"/>
      <c r="N153"/>
      <c r="O153"/>
      <c r="P153"/>
      <c r="Q153"/>
    </row>
    <row r="154" spans="1:17" ht="14.4" x14ac:dyDescent="0.3">
      <c r="C154" s="77"/>
      <c r="D154" s="105"/>
      <c r="E154" s="76"/>
      <c r="F154" s="78"/>
      <c r="G154" s="77"/>
      <c r="I154" t="s">
        <v>349</v>
      </c>
      <c r="J154">
        <v>2.7062880495209545E-13</v>
      </c>
      <c r="K154"/>
      <c r="L154"/>
      <c r="M154"/>
      <c r="N154"/>
      <c r="O154"/>
      <c r="P154"/>
      <c r="Q154"/>
    </row>
    <row r="155" spans="1:17" ht="15" thickBot="1" x14ac:dyDescent="0.35">
      <c r="C155" s="77"/>
      <c r="D155" s="105"/>
      <c r="E155" s="76"/>
      <c r="F155" s="78"/>
      <c r="G155" s="77"/>
      <c r="I155" s="297" t="s">
        <v>350</v>
      </c>
      <c r="J155" s="297">
        <v>5</v>
      </c>
      <c r="K155"/>
      <c r="L155"/>
      <c r="M155"/>
      <c r="N155"/>
      <c r="O155"/>
      <c r="P155"/>
      <c r="Q155"/>
    </row>
    <row r="156" spans="1:17" ht="14.4" x14ac:dyDescent="0.3">
      <c r="C156" s="77"/>
      <c r="D156" s="105"/>
      <c r="E156" s="76"/>
      <c r="F156" s="78"/>
      <c r="G156" s="77"/>
      <c r="I156"/>
      <c r="J156"/>
      <c r="K156"/>
      <c r="L156"/>
      <c r="M156"/>
      <c r="N156"/>
      <c r="O156"/>
      <c r="P156"/>
      <c r="Q156"/>
    </row>
    <row r="157" spans="1:17" ht="15" thickBot="1" x14ac:dyDescent="0.35">
      <c r="C157" s="77"/>
      <c r="D157" s="105"/>
      <c r="E157" s="76"/>
      <c r="F157" s="78"/>
      <c r="G157" s="77"/>
      <c r="I157" t="s">
        <v>351</v>
      </c>
      <c r="J157"/>
      <c r="K157"/>
      <c r="L157"/>
      <c r="M157"/>
      <c r="N157"/>
      <c r="O157"/>
      <c r="P157"/>
      <c r="Q157"/>
    </row>
    <row r="158" spans="1:17" ht="14.4" x14ac:dyDescent="0.3">
      <c r="C158" s="77"/>
      <c r="D158" s="105"/>
      <c r="E158" s="76"/>
      <c r="F158" s="78"/>
      <c r="G158" s="77"/>
      <c r="I158" s="298"/>
      <c r="J158" s="298" t="s">
        <v>356</v>
      </c>
      <c r="K158" s="298" t="s">
        <v>357</v>
      </c>
      <c r="L158" s="298" t="s">
        <v>358</v>
      </c>
      <c r="M158" s="298" t="s">
        <v>359</v>
      </c>
      <c r="N158" s="298" t="s">
        <v>360</v>
      </c>
      <c r="O158"/>
      <c r="P158"/>
      <c r="Q158"/>
    </row>
    <row r="159" spans="1:17" ht="14.4" x14ac:dyDescent="0.3">
      <c r="C159" s="77"/>
      <c r="D159" s="105"/>
      <c r="E159" s="76"/>
      <c r="F159" s="78"/>
      <c r="G159" s="77"/>
      <c r="I159" t="s">
        <v>352</v>
      </c>
      <c r="J159">
        <v>1</v>
      </c>
      <c r="K159">
        <v>16948678.208000001</v>
      </c>
      <c r="L159">
        <v>16948678.208000001</v>
      </c>
      <c r="M159">
        <v>2.3141302242625135E+32</v>
      </c>
      <c r="N159">
        <v>6.2645380887575734E-49</v>
      </c>
      <c r="O159"/>
      <c r="P159"/>
      <c r="Q159"/>
    </row>
    <row r="160" spans="1:17" ht="14.4" x14ac:dyDescent="0.3">
      <c r="C160" s="77"/>
      <c r="D160" s="105"/>
      <c r="E160" s="76"/>
      <c r="F160" s="78"/>
      <c r="G160" s="77"/>
      <c r="I160" t="s">
        <v>353</v>
      </c>
      <c r="J160">
        <v>3</v>
      </c>
      <c r="K160">
        <v>2.1971985020939798E-25</v>
      </c>
      <c r="L160">
        <v>7.3239950069799329E-26</v>
      </c>
      <c r="M160"/>
      <c r="N160"/>
      <c r="O160"/>
      <c r="P160"/>
      <c r="Q160"/>
    </row>
    <row r="161" spans="1:17" ht="15" thickBot="1" x14ac:dyDescent="0.35">
      <c r="C161" s="77"/>
      <c r="D161" s="105"/>
      <c r="E161" s="76"/>
      <c r="F161" s="78"/>
      <c r="G161" s="77"/>
      <c r="I161" s="297" t="s">
        <v>354</v>
      </c>
      <c r="J161" s="297">
        <v>4</v>
      </c>
      <c r="K161" s="297">
        <v>16948678.208000001</v>
      </c>
      <c r="L161" s="297"/>
      <c r="M161" s="297"/>
      <c r="N161" s="297"/>
      <c r="O161"/>
      <c r="P161"/>
      <c r="Q161"/>
    </row>
    <row r="162" spans="1:17" ht="15" thickBot="1" x14ac:dyDescent="0.35">
      <c r="C162" s="77"/>
      <c r="D162" s="105"/>
      <c r="E162" s="76"/>
      <c r="F162" s="78"/>
      <c r="G162" s="77"/>
      <c r="I162"/>
      <c r="J162"/>
      <c r="K162"/>
      <c r="L162"/>
      <c r="M162"/>
      <c r="N162"/>
      <c r="O162"/>
      <c r="P162"/>
      <c r="Q162"/>
    </row>
    <row r="163" spans="1:17" ht="14.4" x14ac:dyDescent="0.3">
      <c r="C163" s="77"/>
      <c r="D163" s="105"/>
      <c r="E163" s="76"/>
      <c r="F163" s="78"/>
      <c r="G163" s="77"/>
      <c r="I163" s="298"/>
      <c r="J163" s="298" t="s">
        <v>361</v>
      </c>
      <c r="K163" s="298" t="s">
        <v>349</v>
      </c>
      <c r="L163" s="298" t="s">
        <v>362</v>
      </c>
      <c r="M163" s="298" t="s">
        <v>363</v>
      </c>
      <c r="N163" s="298" t="s">
        <v>364</v>
      </c>
      <c r="O163" s="298" t="s">
        <v>365</v>
      </c>
      <c r="P163" s="298" t="s">
        <v>366</v>
      </c>
      <c r="Q163" s="298" t="s">
        <v>367</v>
      </c>
    </row>
    <row r="164" spans="1:17" ht="14.4" x14ac:dyDescent="0.3">
      <c r="C164" s="77"/>
      <c r="D164" s="105"/>
      <c r="E164" s="76"/>
      <c r="F164" s="78"/>
      <c r="G164" s="77"/>
      <c r="I164" s="300" t="s">
        <v>355</v>
      </c>
      <c r="J164" s="300">
        <v>-5</v>
      </c>
      <c r="K164">
        <v>1.5584300207444085E-13</v>
      </c>
      <c r="L164">
        <v>-32083570859419.609</v>
      </c>
      <c r="M164">
        <v>6.677634585862727E-41</v>
      </c>
      <c r="N164">
        <v>-5.0000000000004956</v>
      </c>
      <c r="O164">
        <v>-4.9999999999995044</v>
      </c>
      <c r="P164">
        <v>-5.0000000000004956</v>
      </c>
      <c r="Q164">
        <v>-4.9999999999995044</v>
      </c>
    </row>
    <row r="165" spans="1:17" ht="15" thickBot="1" x14ac:dyDescent="0.35">
      <c r="C165" s="77"/>
      <c r="D165" s="105"/>
      <c r="E165" s="76"/>
      <c r="F165" s="78"/>
      <c r="G165" s="77"/>
      <c r="I165" s="301" t="s">
        <v>368</v>
      </c>
      <c r="J165" s="301">
        <v>0.98</v>
      </c>
      <c r="K165" s="297">
        <v>6.442169960420712E-17</v>
      </c>
      <c r="L165" s="297">
        <v>1.5212265525760828E+16</v>
      </c>
      <c r="M165" s="297">
        <v>6.2645380887575734E-49</v>
      </c>
      <c r="N165" s="297">
        <v>0.97999999999999976</v>
      </c>
      <c r="O165" s="297">
        <v>0.9800000000000002</v>
      </c>
      <c r="P165" s="297">
        <v>0.97999999999999976</v>
      </c>
      <c r="Q165" s="297">
        <v>0.9800000000000002</v>
      </c>
    </row>
    <row r="166" spans="1:17" ht="14.4" x14ac:dyDescent="0.3">
      <c r="C166" s="77"/>
      <c r="D166" s="105"/>
      <c r="E166" s="76"/>
      <c r="F166" s="78"/>
      <c r="G166" s="77"/>
      <c r="I166"/>
      <c r="J166"/>
      <c r="K166"/>
      <c r="L166"/>
      <c r="M166"/>
      <c r="N166"/>
      <c r="O166"/>
      <c r="P166"/>
      <c r="Q166"/>
    </row>
    <row r="167" spans="1:17" ht="14.4" x14ac:dyDescent="0.3">
      <c r="A167" s="25" t="s">
        <v>384</v>
      </c>
      <c r="C167" s="38" t="s">
        <v>101</v>
      </c>
      <c r="D167" s="38" t="s">
        <v>125</v>
      </c>
      <c r="E167" s="38" t="s">
        <v>129</v>
      </c>
      <c r="F167" s="38" t="s">
        <v>111</v>
      </c>
      <c r="G167" s="38" t="s">
        <v>247</v>
      </c>
      <c r="I167" t="s">
        <v>344</v>
      </c>
      <c r="J167"/>
      <c r="K167"/>
      <c r="L167"/>
      <c r="M167"/>
      <c r="N167"/>
      <c r="O167"/>
      <c r="P167"/>
      <c r="Q167"/>
    </row>
    <row r="168" spans="1:17" ht="15" thickBot="1" x14ac:dyDescent="0.35">
      <c r="C168" s="296">
        <v>1</v>
      </c>
      <c r="D168" s="296">
        <v>2</v>
      </c>
      <c r="E168" s="296">
        <v>1.88</v>
      </c>
      <c r="F168" s="296">
        <f>D168-E168</f>
        <v>0.12000000000000011</v>
      </c>
      <c r="G168" s="296">
        <v>0.01</v>
      </c>
      <c r="I168"/>
      <c r="J168"/>
      <c r="K168"/>
      <c r="L168"/>
      <c r="M168"/>
      <c r="N168"/>
      <c r="O168"/>
      <c r="P168"/>
      <c r="Q168"/>
    </row>
    <row r="169" spans="1:17" ht="14.4" x14ac:dyDescent="0.3">
      <c r="C169" s="67">
        <v>2</v>
      </c>
      <c r="D169" s="280">
        <v>7</v>
      </c>
      <c r="E169" s="279">
        <v>6.45</v>
      </c>
      <c r="F169" s="296">
        <f t="shared" ref="F169:F171" si="9">D169-E169</f>
        <v>0.54999999999999982</v>
      </c>
      <c r="G169" s="67">
        <v>0.1</v>
      </c>
      <c r="H169" s="220"/>
      <c r="I169" s="299" t="s">
        <v>345</v>
      </c>
      <c r="J169" s="299"/>
      <c r="K169"/>
      <c r="L169"/>
      <c r="M169"/>
      <c r="N169"/>
      <c r="O169"/>
      <c r="P169"/>
      <c r="Q169"/>
    </row>
    <row r="170" spans="1:17" ht="14.4" x14ac:dyDescent="0.3">
      <c r="C170" s="67">
        <v>3</v>
      </c>
      <c r="D170" s="280">
        <v>10</v>
      </c>
      <c r="E170" s="279">
        <v>9.3000000000000007</v>
      </c>
      <c r="F170" s="296">
        <f t="shared" si="9"/>
        <v>0.69999999999999929</v>
      </c>
      <c r="G170" s="67">
        <v>0.1</v>
      </c>
      <c r="H170" s="35"/>
      <c r="I170" t="s">
        <v>346</v>
      </c>
      <c r="J170">
        <v>0.99995430000792485</v>
      </c>
      <c r="K170"/>
      <c r="L170"/>
      <c r="M170"/>
      <c r="N170"/>
      <c r="O170"/>
      <c r="P170"/>
      <c r="Q170"/>
    </row>
    <row r="171" spans="1:17" ht="14.4" x14ac:dyDescent="0.3">
      <c r="C171" s="67">
        <v>4</v>
      </c>
      <c r="D171" s="280">
        <v>19</v>
      </c>
      <c r="E171" s="279">
        <v>17.850000000000001</v>
      </c>
      <c r="F171" s="296">
        <f t="shared" si="9"/>
        <v>1.1499999999999986</v>
      </c>
      <c r="G171" s="67">
        <v>1</v>
      </c>
      <c r="H171" s="35"/>
      <c r="I171" t="s">
        <v>347</v>
      </c>
      <c r="J171">
        <v>0.99990860210433896</v>
      </c>
      <c r="K171"/>
      <c r="L171"/>
      <c r="M171"/>
      <c r="N171"/>
      <c r="O171"/>
      <c r="P171"/>
      <c r="Q171"/>
    </row>
    <row r="172" spans="1:17" ht="14.4" x14ac:dyDescent="0.3">
      <c r="C172" s="34"/>
      <c r="D172" s="74"/>
      <c r="E172" s="74"/>
      <c r="H172" s="35"/>
      <c r="I172" t="s">
        <v>348</v>
      </c>
      <c r="J172">
        <v>0.9998629031565085</v>
      </c>
      <c r="K172"/>
      <c r="L172"/>
      <c r="M172"/>
      <c r="N172"/>
      <c r="O172"/>
      <c r="P172"/>
      <c r="Q172"/>
    </row>
    <row r="173" spans="1:17" ht="14.4" x14ac:dyDescent="0.3">
      <c r="H173" s="35"/>
      <c r="I173" t="s">
        <v>349</v>
      </c>
      <c r="J173">
        <v>7.8702716897568137E-2</v>
      </c>
      <c r="K173"/>
      <c r="L173"/>
      <c r="M173"/>
      <c r="N173"/>
      <c r="O173"/>
      <c r="P173"/>
      <c r="Q173"/>
    </row>
    <row r="174" spans="1:17" ht="15" thickBot="1" x14ac:dyDescent="0.35">
      <c r="D174" s="87"/>
      <c r="G174" s="89"/>
      <c r="I174" s="297" t="s">
        <v>350</v>
      </c>
      <c r="J174" s="297">
        <v>4</v>
      </c>
      <c r="K174"/>
      <c r="L174"/>
      <c r="M174"/>
      <c r="N174"/>
      <c r="O174"/>
      <c r="P174"/>
      <c r="Q174"/>
    </row>
    <row r="175" spans="1:17" ht="14.4" x14ac:dyDescent="0.3">
      <c r="D175" s="87"/>
      <c r="G175" s="89"/>
      <c r="I175"/>
      <c r="J175"/>
      <c r="K175"/>
      <c r="L175"/>
      <c r="M175"/>
      <c r="N175"/>
      <c r="O175"/>
      <c r="P175"/>
      <c r="Q175"/>
    </row>
    <row r="176" spans="1:17" ht="15" thickBot="1" x14ac:dyDescent="0.35">
      <c r="D176" s="87"/>
      <c r="G176" s="89"/>
      <c r="I176" t="s">
        <v>351</v>
      </c>
      <c r="J176"/>
      <c r="K176"/>
      <c r="L176"/>
      <c r="M176"/>
      <c r="N176"/>
      <c r="O176"/>
      <c r="P176"/>
      <c r="Q176"/>
    </row>
    <row r="177" spans="3:17" ht="14.4" x14ac:dyDescent="0.3">
      <c r="D177" s="87"/>
      <c r="G177" s="89"/>
      <c r="I177" s="298"/>
      <c r="J177" s="298" t="s">
        <v>356</v>
      </c>
      <c r="K177" s="298" t="s">
        <v>357</v>
      </c>
      <c r="L177" s="298" t="s">
        <v>358</v>
      </c>
      <c r="M177" s="298" t="s">
        <v>359</v>
      </c>
      <c r="N177" s="298" t="s">
        <v>360</v>
      </c>
      <c r="O177"/>
      <c r="P177"/>
      <c r="Q177"/>
    </row>
    <row r="178" spans="3:17" ht="14.4" x14ac:dyDescent="0.3">
      <c r="D178" s="87"/>
      <c r="G178" s="89"/>
      <c r="I178" t="s">
        <v>352</v>
      </c>
      <c r="J178">
        <v>1</v>
      </c>
      <c r="K178">
        <v>135.52941176470591</v>
      </c>
      <c r="L178">
        <v>135.52941176470591</v>
      </c>
      <c r="M178">
        <v>21880.341880342119</v>
      </c>
      <c r="N178">
        <v>4.5699992075187202E-5</v>
      </c>
      <c r="O178"/>
      <c r="P178"/>
      <c r="Q178"/>
    </row>
    <row r="179" spans="3:17" ht="14.4" x14ac:dyDescent="0.3">
      <c r="I179" t="s">
        <v>353</v>
      </c>
      <c r="J179">
        <v>2</v>
      </c>
      <c r="K179">
        <v>1.2388235294117514E-2</v>
      </c>
      <c r="L179">
        <v>6.1941176470587571E-3</v>
      </c>
      <c r="M179"/>
      <c r="N179"/>
      <c r="O179"/>
      <c r="P179"/>
      <c r="Q179"/>
    </row>
    <row r="180" spans="3:17" ht="15" thickBot="1" x14ac:dyDescent="0.35">
      <c r="I180" s="297" t="s">
        <v>354</v>
      </c>
      <c r="J180" s="297">
        <v>3</v>
      </c>
      <c r="K180" s="297">
        <v>135.54180000000002</v>
      </c>
      <c r="L180" s="297"/>
      <c r="M180" s="297"/>
      <c r="N180" s="297"/>
      <c r="O180"/>
      <c r="P180"/>
      <c r="Q180"/>
    </row>
    <row r="181" spans="3:17" ht="15" thickBot="1" x14ac:dyDescent="0.35">
      <c r="I181"/>
      <c r="J181"/>
      <c r="K181"/>
      <c r="L181"/>
      <c r="M181"/>
      <c r="N181"/>
      <c r="O181"/>
      <c r="P181"/>
      <c r="Q181"/>
    </row>
    <row r="182" spans="3:17" ht="14.4" x14ac:dyDescent="0.3">
      <c r="C182" s="219"/>
      <c r="D182" s="220"/>
      <c r="E182" s="220"/>
      <c r="F182" s="220"/>
      <c r="G182" s="220"/>
      <c r="I182" s="298"/>
      <c r="J182" s="298" t="s">
        <v>361</v>
      </c>
      <c r="K182" s="298" t="s">
        <v>349</v>
      </c>
      <c r="L182" s="298" t="s">
        <v>362</v>
      </c>
      <c r="M182" s="298" t="s">
        <v>363</v>
      </c>
      <c r="N182" s="298" t="s">
        <v>364</v>
      </c>
      <c r="O182" s="298" t="s">
        <v>365</v>
      </c>
      <c r="P182" s="298" t="s">
        <v>366</v>
      </c>
      <c r="Q182" s="298" t="s">
        <v>367</v>
      </c>
    </row>
    <row r="183" spans="3:17" ht="14.4" x14ac:dyDescent="0.3">
      <c r="C183" s="34"/>
      <c r="D183" s="74"/>
      <c r="E183" s="74"/>
      <c r="F183" s="29"/>
      <c r="G183" s="29"/>
      <c r="I183" s="300" t="s">
        <v>355</v>
      </c>
      <c r="J183" s="300">
        <v>-7.1176470588234508E-2</v>
      </c>
      <c r="K183">
        <v>7.2126618768302467E-2</v>
      </c>
      <c r="L183">
        <v>-0.98682666404867547</v>
      </c>
      <c r="M183">
        <v>0.42775364457300113</v>
      </c>
      <c r="N183">
        <v>-0.38151226371927</v>
      </c>
      <c r="O183">
        <v>0.23915932254280098</v>
      </c>
      <c r="P183">
        <v>-0.38151226371927</v>
      </c>
      <c r="Q183">
        <v>0.23915932254280098</v>
      </c>
    </row>
    <row r="184" spans="3:17" ht="15" thickBot="1" x14ac:dyDescent="0.35">
      <c r="C184" s="34"/>
      <c r="D184" s="74"/>
      <c r="E184" s="74"/>
      <c r="F184" s="29"/>
      <c r="G184" s="29"/>
      <c r="I184" s="301" t="s">
        <v>368</v>
      </c>
      <c r="J184" s="301">
        <v>0.94117647058823528</v>
      </c>
      <c r="K184" s="297">
        <v>6.3627375449364174E-3</v>
      </c>
      <c r="L184" s="297">
        <v>147.92005232672855</v>
      </c>
      <c r="M184" s="297">
        <v>4.5699992075187209E-5</v>
      </c>
      <c r="N184" s="297">
        <v>0.91379982052183517</v>
      </c>
      <c r="O184" s="297">
        <v>0.96855312065463539</v>
      </c>
      <c r="P184" s="297">
        <v>0.91379982052183517</v>
      </c>
      <c r="Q184" s="297">
        <v>0.96855312065463539</v>
      </c>
    </row>
  </sheetData>
  <mergeCells count="35">
    <mergeCell ref="L45:L54"/>
    <mergeCell ref="K64:L64"/>
    <mergeCell ref="L65:L71"/>
    <mergeCell ref="K81:L81"/>
    <mergeCell ref="L82:L91"/>
    <mergeCell ref="L12:L14"/>
    <mergeCell ref="K11:L11"/>
    <mergeCell ref="K24:L24"/>
    <mergeCell ref="L25:L34"/>
    <mergeCell ref="K44:L44"/>
    <mergeCell ref="D12:D14"/>
    <mergeCell ref="K12:K14"/>
    <mergeCell ref="D25:E34"/>
    <mergeCell ref="D11:E11"/>
    <mergeCell ref="F11:G11"/>
    <mergeCell ref="H11:I11"/>
    <mergeCell ref="D24:E24"/>
    <mergeCell ref="F24:G24"/>
    <mergeCell ref="H24:I24"/>
    <mergeCell ref="K25:K34"/>
    <mergeCell ref="D44:E44"/>
    <mergeCell ref="F44:G44"/>
    <mergeCell ref="H44:I44"/>
    <mergeCell ref="D45:E54"/>
    <mergeCell ref="K45:K54"/>
    <mergeCell ref="D64:E64"/>
    <mergeCell ref="F64:G64"/>
    <mergeCell ref="H64:I64"/>
    <mergeCell ref="K65:K71"/>
    <mergeCell ref="D65:E71"/>
    <mergeCell ref="D81:E81"/>
    <mergeCell ref="F81:G81"/>
    <mergeCell ref="H81:I81"/>
    <mergeCell ref="D82:E91"/>
    <mergeCell ref="K82:K9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71605-B2A1-4E94-8A86-A484EBFCB39B}">
  <dimension ref="A1:S23"/>
  <sheetViews>
    <sheetView topLeftCell="A4" zoomScale="85" zoomScaleNormal="85" workbookViewId="0">
      <selection activeCell="E19" sqref="E19"/>
    </sheetView>
  </sheetViews>
  <sheetFormatPr defaultColWidth="9.21875" defaultRowHeight="13.8" x14ac:dyDescent="0.25"/>
  <cols>
    <col min="1" max="1" width="19.44140625" style="25" customWidth="1"/>
    <col min="2" max="2" width="1.44140625" style="34" customWidth="1"/>
    <col min="3" max="3" width="15" style="25" customWidth="1"/>
    <col min="4" max="4" width="9.21875" style="25"/>
    <col min="5" max="5" width="8.44140625" style="25" customWidth="1"/>
    <col min="6" max="6" width="9.21875" style="25"/>
    <col min="7" max="7" width="7.44140625" style="25" customWidth="1"/>
    <col min="8" max="8" width="9.21875" style="25"/>
    <col min="9" max="9" width="7.44140625" style="25" customWidth="1"/>
    <col min="10" max="16384" width="9.21875" style="25"/>
  </cols>
  <sheetData>
    <row r="1" spans="1:19" x14ac:dyDescent="0.25">
      <c r="A1" s="723" t="s">
        <v>124</v>
      </c>
      <c r="B1" s="723"/>
      <c r="C1" s="723"/>
      <c r="D1" s="723"/>
      <c r="E1" s="723"/>
      <c r="F1" s="723"/>
      <c r="G1" s="723"/>
      <c r="H1" s="723"/>
      <c r="I1" s="723"/>
      <c r="J1" s="723"/>
      <c r="K1" s="723"/>
      <c r="L1" s="723"/>
      <c r="M1" s="723"/>
      <c r="N1" s="723"/>
      <c r="O1" s="723"/>
      <c r="P1" s="723"/>
      <c r="Q1" s="723"/>
      <c r="R1" s="723"/>
      <c r="S1" s="723"/>
    </row>
    <row r="2" spans="1:19" x14ac:dyDescent="0.25">
      <c r="A2" s="723"/>
      <c r="B2" s="723"/>
      <c r="C2" s="723"/>
      <c r="D2" s="723"/>
      <c r="E2" s="723"/>
      <c r="F2" s="723"/>
      <c r="G2" s="723"/>
      <c r="H2" s="723"/>
      <c r="I2" s="723"/>
      <c r="J2" s="723"/>
      <c r="K2" s="723"/>
      <c r="L2" s="723"/>
      <c r="M2" s="723"/>
      <c r="N2" s="723"/>
      <c r="O2" s="723"/>
      <c r="P2" s="723"/>
      <c r="Q2" s="723"/>
      <c r="R2" s="723"/>
      <c r="S2" s="723"/>
    </row>
    <row r="4" spans="1:19" ht="18" customHeight="1" x14ac:dyDescent="0.25">
      <c r="A4" s="24" t="s">
        <v>28</v>
      </c>
      <c r="B4" s="91" t="s">
        <v>6</v>
      </c>
      <c r="C4" s="24" t="s">
        <v>33</v>
      </c>
      <c r="D4" s="24"/>
      <c r="E4" s="24"/>
    </row>
    <row r="5" spans="1:19" ht="18" customHeight="1" x14ac:dyDescent="0.25">
      <c r="A5" s="24" t="s">
        <v>11</v>
      </c>
      <c r="B5" s="91" t="s">
        <v>6</v>
      </c>
      <c r="C5" s="24" t="s">
        <v>162</v>
      </c>
      <c r="D5" s="24"/>
      <c r="E5" s="24"/>
    </row>
    <row r="6" spans="1:19" ht="18" customHeight="1" x14ac:dyDescent="0.25">
      <c r="A6" s="24" t="s">
        <v>144</v>
      </c>
      <c r="B6" s="91" t="s">
        <v>6</v>
      </c>
      <c r="C6" s="94" t="s">
        <v>34</v>
      </c>
      <c r="D6" s="24"/>
      <c r="E6" s="24"/>
    </row>
    <row r="7" spans="1:19" ht="18" customHeight="1" x14ac:dyDescent="0.25">
      <c r="A7" s="24" t="s">
        <v>18</v>
      </c>
      <c r="B7" s="91" t="s">
        <v>6</v>
      </c>
      <c r="C7" s="24" t="s">
        <v>35</v>
      </c>
      <c r="D7" s="24"/>
      <c r="E7" s="24"/>
    </row>
    <row r="8" spans="1:19" ht="18" customHeight="1" x14ac:dyDescent="0.25">
      <c r="A8" s="24" t="s">
        <v>16</v>
      </c>
      <c r="B8" s="91" t="s">
        <v>6</v>
      </c>
      <c r="C8" s="95" t="s">
        <v>185</v>
      </c>
      <c r="D8" s="24"/>
      <c r="E8" s="24"/>
    </row>
    <row r="9" spans="1:19" ht="18" customHeight="1" x14ac:dyDescent="0.25">
      <c r="A9" s="24" t="s">
        <v>143</v>
      </c>
      <c r="B9" s="91" t="s">
        <v>6</v>
      </c>
      <c r="C9" s="96">
        <v>2023072286</v>
      </c>
      <c r="D9" s="24"/>
      <c r="E9" s="24"/>
    </row>
    <row r="10" spans="1:19" ht="18" customHeight="1" x14ac:dyDescent="0.25">
      <c r="A10" s="24" t="s">
        <v>142</v>
      </c>
      <c r="B10" s="91" t="s">
        <v>6</v>
      </c>
      <c r="C10" s="24" t="s">
        <v>162</v>
      </c>
      <c r="D10" s="24"/>
      <c r="E10" s="24"/>
    </row>
    <row r="12" spans="1:19" ht="18" customHeight="1" x14ac:dyDescent="0.25">
      <c r="C12" s="724" t="s">
        <v>145</v>
      </c>
      <c r="D12" s="724"/>
      <c r="E12" s="724"/>
      <c r="F12" s="724"/>
      <c r="G12" s="724"/>
      <c r="H12" s="724"/>
      <c r="I12" s="724"/>
      <c r="J12" s="724"/>
      <c r="L12" s="724" t="s">
        <v>146</v>
      </c>
      <c r="M12" s="724"/>
      <c r="N12" s="724"/>
      <c r="O12" s="724"/>
      <c r="P12" s="724"/>
      <c r="Q12" s="724"/>
      <c r="R12" s="724"/>
      <c r="S12" s="724"/>
    </row>
    <row r="13" spans="1:19" ht="36" customHeight="1" x14ac:dyDescent="0.25">
      <c r="C13" s="159" t="s">
        <v>101</v>
      </c>
      <c r="D13" s="704" t="s">
        <v>125</v>
      </c>
      <c r="E13" s="705"/>
      <c r="F13" s="704" t="s">
        <v>129</v>
      </c>
      <c r="G13" s="705"/>
      <c r="H13" s="706" t="s">
        <v>126</v>
      </c>
      <c r="I13" s="706"/>
      <c r="J13" s="160" t="s">
        <v>147</v>
      </c>
      <c r="L13" s="159" t="s">
        <v>101</v>
      </c>
      <c r="M13" s="704" t="s">
        <v>125</v>
      </c>
      <c r="N13" s="705"/>
      <c r="O13" s="704" t="s">
        <v>129</v>
      </c>
      <c r="P13" s="705"/>
      <c r="Q13" s="706" t="s">
        <v>126</v>
      </c>
      <c r="R13" s="706"/>
      <c r="S13" s="160" t="s">
        <v>147</v>
      </c>
    </row>
    <row r="14" spans="1:19" ht="18" customHeight="1" x14ac:dyDescent="0.3">
      <c r="C14" s="68">
        <v>1</v>
      </c>
      <c r="D14" s="82">
        <v>20.12</v>
      </c>
      <c r="E14" s="83" t="s">
        <v>148</v>
      </c>
      <c r="F14" s="97">
        <v>20</v>
      </c>
      <c r="G14" s="83" t="s">
        <v>148</v>
      </c>
      <c r="H14" s="69">
        <v>0.1</v>
      </c>
      <c r="I14" s="83" t="s">
        <v>148</v>
      </c>
      <c r="J14" s="717">
        <v>0.63</v>
      </c>
      <c r="L14" s="68">
        <v>1</v>
      </c>
      <c r="M14" s="69">
        <v>40.700000000000003</v>
      </c>
      <c r="N14" s="83" t="s">
        <v>149</v>
      </c>
      <c r="O14" s="98">
        <v>40</v>
      </c>
      <c r="P14" s="83" t="s">
        <v>149</v>
      </c>
      <c r="Q14" s="69">
        <v>-2.4</v>
      </c>
      <c r="R14" s="83" t="s">
        <v>149</v>
      </c>
      <c r="S14" s="720">
        <v>2.9</v>
      </c>
    </row>
    <row r="15" spans="1:19" ht="18" customHeight="1" x14ac:dyDescent="0.3">
      <c r="C15" s="68">
        <v>2</v>
      </c>
      <c r="D15" s="82">
        <v>25.17</v>
      </c>
      <c r="E15" s="83" t="s">
        <v>148</v>
      </c>
      <c r="F15" s="69">
        <v>25</v>
      </c>
      <c r="G15" s="83" t="s">
        <v>148</v>
      </c>
      <c r="H15" s="69">
        <v>0.2</v>
      </c>
      <c r="I15" s="83" t="s">
        <v>148</v>
      </c>
      <c r="J15" s="718"/>
      <c r="L15" s="68">
        <v>2</v>
      </c>
      <c r="M15" s="69">
        <v>50.3</v>
      </c>
      <c r="N15" s="83" t="s">
        <v>149</v>
      </c>
      <c r="O15" s="86">
        <v>50</v>
      </c>
      <c r="P15" s="83" t="s">
        <v>149</v>
      </c>
      <c r="Q15" s="69">
        <v>3.3</v>
      </c>
      <c r="R15" s="83" t="s">
        <v>149</v>
      </c>
      <c r="S15" s="721"/>
    </row>
    <row r="16" spans="1:19" ht="18" customHeight="1" x14ac:dyDescent="0.3">
      <c r="C16" s="68">
        <v>3</v>
      </c>
      <c r="D16" s="82">
        <v>30.22</v>
      </c>
      <c r="E16" s="83" t="s">
        <v>148</v>
      </c>
      <c r="F16" s="69">
        <v>30.1</v>
      </c>
      <c r="G16" s="83" t="s">
        <v>148</v>
      </c>
      <c r="H16" s="69">
        <v>0.2</v>
      </c>
      <c r="I16" s="83" t="s">
        <v>148</v>
      </c>
      <c r="J16" s="718"/>
      <c r="L16" s="68">
        <v>3</v>
      </c>
      <c r="M16" s="69">
        <v>60.7</v>
      </c>
      <c r="N16" s="83" t="s">
        <v>149</v>
      </c>
      <c r="O16" s="86">
        <v>60</v>
      </c>
      <c r="P16" s="83" t="s">
        <v>149</v>
      </c>
      <c r="Q16" s="69">
        <v>3.8</v>
      </c>
      <c r="R16" s="83" t="s">
        <v>149</v>
      </c>
      <c r="S16" s="721"/>
    </row>
    <row r="17" spans="3:19" ht="14.4" x14ac:dyDescent="0.3">
      <c r="C17" s="68">
        <v>4</v>
      </c>
      <c r="D17" s="84">
        <v>35.270000000000003</v>
      </c>
      <c r="E17" s="99" t="s">
        <v>148</v>
      </c>
      <c r="F17" s="85">
        <v>35</v>
      </c>
      <c r="G17" s="99" t="s">
        <v>148</v>
      </c>
      <c r="H17" s="85">
        <v>0.2</v>
      </c>
      <c r="I17" s="99" t="s">
        <v>148</v>
      </c>
      <c r="J17" s="719"/>
      <c r="L17" s="68">
        <v>4</v>
      </c>
      <c r="M17" s="85">
        <v>70</v>
      </c>
      <c r="N17" s="83" t="s">
        <v>149</v>
      </c>
      <c r="O17" s="100">
        <v>70</v>
      </c>
      <c r="P17" s="83" t="s">
        <v>149</v>
      </c>
      <c r="Q17" s="85">
        <v>0</v>
      </c>
      <c r="R17" s="83" t="s">
        <v>149</v>
      </c>
      <c r="S17" s="722"/>
    </row>
    <row r="18" spans="3:19" x14ac:dyDescent="0.25">
      <c r="C18" s="34"/>
      <c r="D18" s="101"/>
      <c r="E18" s="102"/>
      <c r="F18" s="103"/>
      <c r="G18" s="35"/>
      <c r="H18" s="104"/>
      <c r="I18" s="35"/>
      <c r="J18" s="105"/>
      <c r="L18" s="34"/>
      <c r="M18" s="104"/>
      <c r="N18" s="106"/>
      <c r="O18" s="107"/>
      <c r="P18" s="35"/>
      <c r="Q18" s="104"/>
      <c r="R18" s="35"/>
      <c r="S18" s="76"/>
    </row>
    <row r="19" spans="3:19" x14ac:dyDescent="0.25">
      <c r="D19" s="87" t="s">
        <v>131</v>
      </c>
      <c r="E19" s="108">
        <f t="array" ref="E19:F23">LINEST(D14:D17,F14:F17,1,1)</f>
        <v>1.0079278130788996</v>
      </c>
      <c r="F19" s="108">
        <v>-4.8213054996708138E-2</v>
      </c>
      <c r="G19" s="89" t="s">
        <v>132</v>
      </c>
      <c r="M19" s="87" t="s">
        <v>131</v>
      </c>
      <c r="N19" s="108">
        <f t="array" ref="N19:O23">LINEST(M14:M17,O14:O17,1,1)</f>
        <v>0.98299999999999987</v>
      </c>
      <c r="O19" s="108">
        <v>1.3600000000000065</v>
      </c>
      <c r="P19" s="89" t="s">
        <v>132</v>
      </c>
    </row>
    <row r="20" spans="3:19" x14ac:dyDescent="0.25">
      <c r="D20" s="87" t="s">
        <v>133</v>
      </c>
      <c r="E20" s="88">
        <v>5.3228070517207767E-3</v>
      </c>
      <c r="F20" s="88">
        <v>0.14951332962166847</v>
      </c>
      <c r="G20" s="89" t="s">
        <v>134</v>
      </c>
      <c r="M20" s="87" t="s">
        <v>133</v>
      </c>
      <c r="N20" s="88">
        <v>1.4247806848775137E-2</v>
      </c>
      <c r="O20" s="88">
        <v>0.79965617611571771</v>
      </c>
      <c r="P20" s="89" t="s">
        <v>134</v>
      </c>
    </row>
    <row r="21" spans="3:19" x14ac:dyDescent="0.25">
      <c r="D21" s="87" t="s">
        <v>135</v>
      </c>
      <c r="E21" s="88">
        <v>0.99994422644065095</v>
      </c>
      <c r="F21" s="88">
        <v>5.9631476530837314E-2</v>
      </c>
      <c r="G21" s="89" t="s">
        <v>136</v>
      </c>
      <c r="M21" s="87" t="s">
        <v>135</v>
      </c>
      <c r="N21" s="88">
        <v>0.99958001230998395</v>
      </c>
      <c r="O21" s="88">
        <v>0.31859064644148272</v>
      </c>
      <c r="P21" s="89" t="s">
        <v>136</v>
      </c>
    </row>
    <row r="22" spans="3:19" x14ac:dyDescent="0.25">
      <c r="D22" s="87" t="s">
        <v>137</v>
      </c>
      <c r="E22" s="88">
        <v>35857.285714281825</v>
      </c>
      <c r="F22" s="88">
        <v>2</v>
      </c>
      <c r="G22" s="89" t="s">
        <v>138</v>
      </c>
      <c r="M22" s="87" t="s">
        <v>137</v>
      </c>
      <c r="N22" s="88">
        <v>4760.0443349752823</v>
      </c>
      <c r="O22" s="88">
        <v>2</v>
      </c>
      <c r="P22" s="89" t="s">
        <v>138</v>
      </c>
    </row>
    <row r="23" spans="3:19" x14ac:dyDescent="0.25">
      <c r="D23" s="87" t="s">
        <v>139</v>
      </c>
      <c r="E23" s="88">
        <v>127.50538817401352</v>
      </c>
      <c r="F23" s="88">
        <v>7.1118259864956027E-3</v>
      </c>
      <c r="G23" s="89" t="s">
        <v>140</v>
      </c>
      <c r="M23" s="87" t="s">
        <v>139</v>
      </c>
      <c r="N23" s="88">
        <v>483.14449999999994</v>
      </c>
      <c r="O23" s="88">
        <v>0.20300000000000371</v>
      </c>
      <c r="P23" s="89" t="s">
        <v>140</v>
      </c>
    </row>
  </sheetData>
  <mergeCells count="11">
    <mergeCell ref="J14:J17"/>
    <mergeCell ref="S14:S17"/>
    <mergeCell ref="A1:S2"/>
    <mergeCell ref="C12:J12"/>
    <mergeCell ref="L12:S12"/>
    <mergeCell ref="D13:E13"/>
    <mergeCell ref="F13:G13"/>
    <mergeCell ref="H13:I13"/>
    <mergeCell ref="M13:N13"/>
    <mergeCell ref="O13:P13"/>
    <mergeCell ref="Q13:R13"/>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41F74-9466-4D2B-AF0E-E3BAD56125C0}">
  <dimension ref="A1:S42"/>
  <sheetViews>
    <sheetView topLeftCell="B1" workbookViewId="0">
      <selection activeCell="F38" sqref="F38:G39"/>
    </sheetView>
  </sheetViews>
  <sheetFormatPr defaultColWidth="9.21875" defaultRowHeight="13.8" x14ac:dyDescent="0.25"/>
  <cols>
    <col min="1" max="1" width="18.77734375" style="25" bestFit="1" customWidth="1"/>
    <col min="2" max="2" width="3.77734375" style="25" customWidth="1"/>
    <col min="3" max="3" width="20.44140625" style="25" customWidth="1"/>
    <col min="4" max="4" width="3.77734375" style="25" bestFit="1" customWidth="1"/>
    <col min="5" max="5" width="9.21875" style="25"/>
    <col min="6" max="6" width="14.21875" style="25" bestFit="1" customWidth="1"/>
    <col min="7" max="7" width="13.77734375" style="25" bestFit="1" customWidth="1"/>
    <col min="8" max="8" width="9.21875" style="25"/>
    <col min="9" max="9" width="11.77734375" style="25" customWidth="1"/>
    <col min="10" max="10" width="9.5546875" style="25" customWidth="1"/>
    <col min="11" max="11" width="16.21875" style="25" bestFit="1" customWidth="1"/>
    <col min="12" max="14" width="9.21875" style="25"/>
    <col min="15" max="15" width="16.21875" style="25" bestFit="1" customWidth="1"/>
    <col min="16" max="16384" width="9.21875" style="25"/>
  </cols>
  <sheetData>
    <row r="1" spans="1:19" x14ac:dyDescent="0.25">
      <c r="A1" s="725" t="s">
        <v>124</v>
      </c>
      <c r="B1" s="725"/>
      <c r="C1" s="725"/>
      <c r="D1" s="725"/>
      <c r="E1" s="725"/>
      <c r="F1" s="725"/>
      <c r="G1" s="725"/>
      <c r="H1" s="725"/>
      <c r="I1" s="725"/>
      <c r="J1" s="725"/>
      <c r="K1" s="725"/>
      <c r="L1" s="725"/>
      <c r="M1" s="725"/>
      <c r="N1" s="725"/>
      <c r="O1" s="725"/>
      <c r="P1" s="725"/>
      <c r="Q1" s="725"/>
      <c r="R1" s="725"/>
      <c r="S1" s="725"/>
    </row>
    <row r="2" spans="1:19" x14ac:dyDescent="0.25">
      <c r="A2" s="725"/>
      <c r="B2" s="725"/>
      <c r="C2" s="725"/>
      <c r="D2" s="725"/>
      <c r="E2" s="725"/>
      <c r="F2" s="725"/>
      <c r="G2" s="725"/>
      <c r="H2" s="725"/>
      <c r="I2" s="725"/>
      <c r="J2" s="725"/>
      <c r="K2" s="725"/>
      <c r="L2" s="725"/>
      <c r="M2" s="725"/>
      <c r="N2" s="725"/>
      <c r="O2" s="725"/>
      <c r="P2" s="725"/>
      <c r="Q2" s="725"/>
      <c r="R2" s="725"/>
      <c r="S2" s="725"/>
    </row>
    <row r="4" spans="1:19" x14ac:dyDescent="0.25">
      <c r="A4" s="24" t="s">
        <v>28</v>
      </c>
      <c r="B4" s="91" t="s">
        <v>6</v>
      </c>
      <c r="C4" s="24" t="s">
        <v>291</v>
      </c>
    </row>
    <row r="5" spans="1:19" x14ac:dyDescent="0.25">
      <c r="A5" s="24" t="s">
        <v>11</v>
      </c>
      <c r="B5" s="91" t="s">
        <v>6</v>
      </c>
      <c r="C5" s="24" t="s">
        <v>369</v>
      </c>
    </row>
    <row r="6" spans="1:19" x14ac:dyDescent="0.25">
      <c r="A6" s="24" t="s">
        <v>144</v>
      </c>
      <c r="B6" s="91" t="s">
        <v>6</v>
      </c>
      <c r="C6" s="24" t="s">
        <v>370</v>
      </c>
    </row>
    <row r="7" spans="1:19" x14ac:dyDescent="0.25">
      <c r="A7" s="24" t="s">
        <v>18</v>
      </c>
      <c r="B7" s="91" t="s">
        <v>6</v>
      </c>
      <c r="C7" s="24" t="s">
        <v>371</v>
      </c>
    </row>
    <row r="8" spans="1:19" x14ac:dyDescent="0.25">
      <c r="A8" s="24" t="s">
        <v>16</v>
      </c>
      <c r="B8" s="91" t="s">
        <v>6</v>
      </c>
      <c r="C8" s="95" t="s">
        <v>372</v>
      </c>
      <c r="D8" s="91"/>
      <c r="E8" s="91"/>
      <c r="F8" s="91"/>
    </row>
    <row r="9" spans="1:19" x14ac:dyDescent="0.25">
      <c r="A9" s="24" t="s">
        <v>143</v>
      </c>
      <c r="B9" s="91" t="s">
        <v>6</v>
      </c>
      <c r="C9" s="24" t="s">
        <v>373</v>
      </c>
      <c r="D9" s="34"/>
      <c r="E9" s="34"/>
      <c r="F9" s="34"/>
    </row>
    <row r="10" spans="1:19" x14ac:dyDescent="0.25">
      <c r="A10" s="24" t="s">
        <v>142</v>
      </c>
      <c r="B10" s="91" t="s">
        <v>6</v>
      </c>
      <c r="C10" s="24" t="s">
        <v>164</v>
      </c>
      <c r="D10" s="224"/>
      <c r="E10" s="224"/>
      <c r="F10" s="275"/>
    </row>
    <row r="11" spans="1:19" x14ac:dyDescent="0.25">
      <c r="D11" s="224"/>
      <c r="E11" s="224"/>
      <c r="F11" s="275"/>
    </row>
    <row r="12" spans="1:19" x14ac:dyDescent="0.25">
      <c r="D12" s="276" t="s">
        <v>101</v>
      </c>
      <c r="E12" s="726" t="s">
        <v>125</v>
      </c>
      <c r="F12" s="727"/>
      <c r="G12" s="728" t="s">
        <v>129</v>
      </c>
      <c r="H12" s="729"/>
      <c r="I12" s="730" t="s">
        <v>126</v>
      </c>
      <c r="J12" s="730"/>
      <c r="K12" s="277" t="s">
        <v>130</v>
      </c>
    </row>
    <row r="13" spans="1:19" x14ac:dyDescent="0.25">
      <c r="D13" s="67">
        <v>1</v>
      </c>
      <c r="E13" s="278">
        <f>G13+I13</f>
        <v>10.037000000000001</v>
      </c>
      <c r="F13" s="279" t="s">
        <v>292</v>
      </c>
      <c r="G13" s="280">
        <v>10</v>
      </c>
      <c r="H13" s="67" t="s">
        <v>292</v>
      </c>
      <c r="I13" s="278">
        <v>3.6999999999999998E-2</v>
      </c>
      <c r="J13" s="67" t="str">
        <f t="shared" ref="J13:J18" si="0">F13</f>
        <v>s</v>
      </c>
      <c r="K13" s="597">
        <v>2.9000000000000001E-2</v>
      </c>
    </row>
    <row r="14" spans="1:19" x14ac:dyDescent="0.25">
      <c r="C14" s="101"/>
      <c r="D14" s="67">
        <v>2</v>
      </c>
      <c r="E14" s="278">
        <f t="shared" ref="E14:E20" si="1">G14+I14</f>
        <v>20.044</v>
      </c>
      <c r="F14" s="279" t="s">
        <v>292</v>
      </c>
      <c r="G14" s="280">
        <v>20</v>
      </c>
      <c r="H14" s="67" t="s">
        <v>292</v>
      </c>
      <c r="I14" s="278">
        <v>4.3999999999999997E-2</v>
      </c>
      <c r="J14" s="67" t="str">
        <f t="shared" si="0"/>
        <v>s</v>
      </c>
      <c r="K14" s="597"/>
    </row>
    <row r="15" spans="1:19" x14ac:dyDescent="0.25">
      <c r="C15" s="101"/>
      <c r="D15" s="67">
        <v>3</v>
      </c>
      <c r="E15" s="278">
        <f t="shared" si="1"/>
        <v>30.039000000000001</v>
      </c>
      <c r="F15" s="279" t="s">
        <v>292</v>
      </c>
      <c r="G15" s="280">
        <v>30</v>
      </c>
      <c r="H15" s="67" t="s">
        <v>292</v>
      </c>
      <c r="I15" s="278">
        <v>3.9E-2</v>
      </c>
      <c r="J15" s="67" t="str">
        <f t="shared" si="0"/>
        <v>s</v>
      </c>
      <c r="K15" s="597"/>
    </row>
    <row r="16" spans="1:19" x14ac:dyDescent="0.25">
      <c r="D16" s="67">
        <v>4</v>
      </c>
      <c r="E16" s="278">
        <f t="shared" si="1"/>
        <v>40.031999999999996</v>
      </c>
      <c r="F16" s="279" t="s">
        <v>292</v>
      </c>
      <c r="G16" s="280">
        <v>40</v>
      </c>
      <c r="H16" s="67" t="s">
        <v>292</v>
      </c>
      <c r="I16" s="278">
        <v>3.2000000000000001E-2</v>
      </c>
      <c r="J16" s="67" t="str">
        <f t="shared" si="0"/>
        <v>s</v>
      </c>
      <c r="K16" s="597"/>
    </row>
    <row r="17" spans="4:14" x14ac:dyDescent="0.25">
      <c r="D17" s="67">
        <v>5</v>
      </c>
      <c r="E17" s="278">
        <f t="shared" si="1"/>
        <v>50.011000000000003</v>
      </c>
      <c r="F17" s="279" t="s">
        <v>292</v>
      </c>
      <c r="G17" s="280">
        <v>50</v>
      </c>
      <c r="H17" s="67" t="s">
        <v>292</v>
      </c>
      <c r="I17" s="278">
        <v>1.0999999999999999E-2</v>
      </c>
      <c r="J17" s="67" t="str">
        <f t="shared" si="0"/>
        <v>s</v>
      </c>
      <c r="K17" s="597"/>
    </row>
    <row r="18" spans="4:14" x14ac:dyDescent="0.25">
      <c r="D18" s="67">
        <v>6</v>
      </c>
      <c r="E18" s="278">
        <f t="shared" si="1"/>
        <v>59.981000000000002</v>
      </c>
      <c r="F18" s="279" t="s">
        <v>292</v>
      </c>
      <c r="G18" s="280">
        <v>60</v>
      </c>
      <c r="H18" s="67" t="s">
        <v>292</v>
      </c>
      <c r="I18" s="278">
        <v>-1.9E-2</v>
      </c>
      <c r="J18" s="67" t="str">
        <f t="shared" si="0"/>
        <v>s</v>
      </c>
      <c r="K18" s="597"/>
    </row>
    <row r="19" spans="4:14" x14ac:dyDescent="0.25">
      <c r="D19" s="67">
        <v>7</v>
      </c>
      <c r="E19" s="278">
        <f t="shared" si="1"/>
        <v>299.99</v>
      </c>
      <c r="F19" s="67" t="s">
        <v>292</v>
      </c>
      <c r="G19" s="67">
        <v>300</v>
      </c>
      <c r="H19" s="67" t="s">
        <v>292</v>
      </c>
      <c r="I19" s="278">
        <v>-0.01</v>
      </c>
      <c r="J19" s="67" t="s">
        <v>292</v>
      </c>
      <c r="K19" s="597"/>
    </row>
    <row r="20" spans="4:14" x14ac:dyDescent="0.25">
      <c r="D20" s="67">
        <v>8</v>
      </c>
      <c r="E20" s="278">
        <f t="shared" si="1"/>
        <v>600.005</v>
      </c>
      <c r="F20" s="67" t="s">
        <v>292</v>
      </c>
      <c r="G20" s="67">
        <v>600</v>
      </c>
      <c r="H20" s="67" t="s">
        <v>292</v>
      </c>
      <c r="I20" s="278">
        <v>5.0000000000000001E-3</v>
      </c>
      <c r="J20" s="67" t="s">
        <v>292</v>
      </c>
      <c r="K20" s="597"/>
    </row>
    <row r="22" spans="4:14" ht="14.4" x14ac:dyDescent="0.3">
      <c r="E22" s="87"/>
      <c r="F22" t="s">
        <v>344</v>
      </c>
      <c r="G22"/>
      <c r="H22"/>
      <c r="I22"/>
      <c r="J22"/>
      <c r="K22"/>
      <c r="L22"/>
      <c r="M22"/>
      <c r="N22"/>
    </row>
    <row r="23" spans="4:14" ht="15" thickBot="1" x14ac:dyDescent="0.35">
      <c r="E23" s="87"/>
      <c r="F23"/>
      <c r="G23"/>
      <c r="H23"/>
      <c r="I23"/>
      <c r="J23"/>
      <c r="K23"/>
      <c r="L23"/>
      <c r="M23"/>
      <c r="N23"/>
    </row>
    <row r="24" spans="4:14" ht="14.4" x14ac:dyDescent="0.3">
      <c r="E24" s="87"/>
      <c r="F24" s="299" t="s">
        <v>345</v>
      </c>
      <c r="G24" s="299"/>
      <c r="H24"/>
      <c r="I24"/>
      <c r="J24"/>
      <c r="K24"/>
      <c r="L24"/>
      <c r="M24"/>
      <c r="N24"/>
    </row>
    <row r="25" spans="4:14" ht="14.4" x14ac:dyDescent="0.3">
      <c r="E25" s="87"/>
      <c r="F25" t="s">
        <v>346</v>
      </c>
      <c r="G25">
        <v>0.99999999478097135</v>
      </c>
      <c r="H25"/>
      <c r="I25"/>
      <c r="J25"/>
      <c r="K25"/>
      <c r="L25"/>
      <c r="M25"/>
      <c r="N25"/>
    </row>
    <row r="26" spans="4:14" ht="14.4" x14ac:dyDescent="0.3">
      <c r="E26" s="87"/>
      <c r="F26" t="s">
        <v>347</v>
      </c>
      <c r="G26">
        <v>0.99999998956194269</v>
      </c>
      <c r="H26"/>
      <c r="I26"/>
      <c r="J26"/>
      <c r="K26"/>
      <c r="L26"/>
      <c r="M26"/>
      <c r="N26"/>
    </row>
    <row r="27" spans="4:14" ht="14.4" x14ac:dyDescent="0.3">
      <c r="F27" t="s">
        <v>348</v>
      </c>
      <c r="G27">
        <v>0.99999998782226651</v>
      </c>
      <c r="H27"/>
      <c r="I27"/>
      <c r="J27"/>
      <c r="K27"/>
      <c r="L27"/>
      <c r="M27"/>
      <c r="N27"/>
    </row>
    <row r="28" spans="4:14" ht="14.4" x14ac:dyDescent="0.3">
      <c r="F28" t="s">
        <v>349</v>
      </c>
      <c r="G28">
        <v>2.303808730212208E-2</v>
      </c>
      <c r="H28"/>
      <c r="I28"/>
      <c r="J28"/>
      <c r="K28"/>
      <c r="L28"/>
      <c r="M28"/>
      <c r="N28"/>
    </row>
    <row r="29" spans="4:14" ht="15" thickBot="1" x14ac:dyDescent="0.35">
      <c r="F29" s="297" t="s">
        <v>350</v>
      </c>
      <c r="G29" s="297">
        <v>8</v>
      </c>
      <c r="H29"/>
      <c r="I29"/>
      <c r="J29"/>
      <c r="K29"/>
      <c r="L29"/>
      <c r="M29"/>
      <c r="N29"/>
    </row>
    <row r="30" spans="4:14" ht="14.4" x14ac:dyDescent="0.3">
      <c r="F30"/>
      <c r="G30"/>
      <c r="H30"/>
      <c r="I30"/>
      <c r="J30"/>
      <c r="K30"/>
      <c r="L30"/>
      <c r="M30"/>
      <c r="N30"/>
    </row>
    <row r="31" spans="4:14" ht="15" thickBot="1" x14ac:dyDescent="0.35">
      <c r="F31" t="s">
        <v>351</v>
      </c>
      <c r="G31"/>
      <c r="H31"/>
      <c r="I31"/>
      <c r="J31"/>
      <c r="K31"/>
      <c r="L31"/>
      <c r="M31"/>
      <c r="N31"/>
    </row>
    <row r="32" spans="4:14" ht="14.4" x14ac:dyDescent="0.3">
      <c r="F32" s="298"/>
      <c r="G32" s="298" t="s">
        <v>356</v>
      </c>
      <c r="H32" s="298" t="s">
        <v>357</v>
      </c>
      <c r="I32" s="298" t="s">
        <v>358</v>
      </c>
      <c r="J32" s="298" t="s">
        <v>359</v>
      </c>
      <c r="K32" s="298" t="s">
        <v>360</v>
      </c>
      <c r="L32"/>
      <c r="M32"/>
      <c r="N32"/>
    </row>
    <row r="33" spans="6:14" ht="14.4" x14ac:dyDescent="0.3">
      <c r="F33" t="s">
        <v>352</v>
      </c>
      <c r="G33">
        <v>1</v>
      </c>
      <c r="H33">
        <v>305087.49681547919</v>
      </c>
      <c r="I33">
        <v>305087.49681547919</v>
      </c>
      <c r="J33">
        <v>574819602.78891969</v>
      </c>
      <c r="K33">
        <v>3.5539314789274937E-25</v>
      </c>
      <c r="L33"/>
      <c r="M33"/>
      <c r="N33"/>
    </row>
    <row r="34" spans="6:14" ht="14.4" x14ac:dyDescent="0.3">
      <c r="F34" t="s">
        <v>353</v>
      </c>
      <c r="G34">
        <v>6</v>
      </c>
      <c r="H34">
        <v>3.1845207992411916E-3</v>
      </c>
      <c r="I34">
        <v>5.3075346654019864E-4</v>
      </c>
      <c r="J34"/>
      <c r="K34"/>
      <c r="L34"/>
      <c r="M34"/>
      <c r="N34"/>
    </row>
    <row r="35" spans="6:14" ht="15" thickBot="1" x14ac:dyDescent="0.35">
      <c r="F35" s="297" t="s">
        <v>354</v>
      </c>
      <c r="G35" s="297">
        <v>7</v>
      </c>
      <c r="H35" s="297">
        <v>305087.5</v>
      </c>
      <c r="I35" s="297"/>
      <c r="J35" s="297"/>
      <c r="K35" s="297"/>
      <c r="L35"/>
      <c r="M35"/>
      <c r="N35"/>
    </row>
    <row r="36" spans="6:14" ht="15" thickBot="1" x14ac:dyDescent="0.35">
      <c r="F36"/>
      <c r="G36"/>
      <c r="H36"/>
      <c r="I36"/>
      <c r="J36"/>
      <c r="K36"/>
      <c r="L36"/>
      <c r="M36"/>
      <c r="N36"/>
    </row>
    <row r="37" spans="6:14" ht="14.4" x14ac:dyDescent="0.3">
      <c r="F37" s="298"/>
      <c r="G37" s="298" t="s">
        <v>361</v>
      </c>
      <c r="H37" s="298" t="s">
        <v>349</v>
      </c>
      <c r="I37" s="298" t="s">
        <v>362</v>
      </c>
      <c r="J37" s="298" t="s">
        <v>363</v>
      </c>
      <c r="K37" s="298" t="s">
        <v>364</v>
      </c>
      <c r="L37" s="298" t="s">
        <v>365</v>
      </c>
      <c r="M37" s="298" t="s">
        <v>366</v>
      </c>
      <c r="N37" s="298" t="s">
        <v>367</v>
      </c>
    </row>
    <row r="38" spans="6:14" ht="14.4" x14ac:dyDescent="0.3">
      <c r="F38" s="300" t="s">
        <v>355</v>
      </c>
      <c r="G38" s="300">
        <v>-2.4731620132882881E-2</v>
      </c>
      <c r="H38">
        <v>9.9923775704469503E-3</v>
      </c>
      <c r="I38">
        <v>-2.4750486016489326</v>
      </c>
      <c r="J38">
        <v>4.8127190967790591E-2</v>
      </c>
      <c r="K38">
        <v>-4.9182087231124702E-2</v>
      </c>
      <c r="L38">
        <v>-2.8115303464106012E-4</v>
      </c>
      <c r="M38">
        <v>-4.9182087231124702E-2</v>
      </c>
      <c r="N38">
        <v>-2.8115303464106012E-4</v>
      </c>
    </row>
    <row r="39" spans="6:14" ht="15" thickBot="1" x14ac:dyDescent="0.35">
      <c r="F39" s="301" t="s">
        <v>368</v>
      </c>
      <c r="G39" s="301">
        <v>1.0000530140469464</v>
      </c>
      <c r="H39" s="297">
        <v>4.1711637348546506E-5</v>
      </c>
      <c r="I39" s="297">
        <v>23975.39577960956</v>
      </c>
      <c r="J39" s="297">
        <v>3.5539314789274437E-25</v>
      </c>
      <c r="K39" s="297">
        <v>0.99995094934718753</v>
      </c>
      <c r="L39" s="297">
        <v>1.0001550787467053</v>
      </c>
      <c r="M39" s="297">
        <v>0.99995094934718753</v>
      </c>
      <c r="N39" s="297">
        <v>1.0001550787467053</v>
      </c>
    </row>
    <row r="40" spans="6:14" ht="14.4" x14ac:dyDescent="0.3">
      <c r="F40"/>
      <c r="G40"/>
      <c r="H40"/>
      <c r="I40"/>
      <c r="J40"/>
      <c r="K40"/>
      <c r="L40"/>
      <c r="M40"/>
      <c r="N40"/>
    </row>
    <row r="41" spans="6:14" ht="14.4" x14ac:dyDescent="0.3">
      <c r="F41"/>
      <c r="G41"/>
      <c r="H41"/>
      <c r="I41"/>
      <c r="J41"/>
      <c r="K41"/>
      <c r="L41"/>
      <c r="M41"/>
      <c r="N41"/>
    </row>
    <row r="42" spans="6:14" ht="14.4" x14ac:dyDescent="0.3">
      <c r="F42"/>
      <c r="G42"/>
      <c r="H42"/>
      <c r="I42"/>
      <c r="J42"/>
      <c r="K42"/>
      <c r="L42"/>
      <c r="M42"/>
      <c r="N42"/>
    </row>
  </sheetData>
  <mergeCells count="5">
    <mergeCell ref="A1:S2"/>
    <mergeCell ref="E12:F12"/>
    <mergeCell ref="G12:H12"/>
    <mergeCell ref="I12:J12"/>
    <mergeCell ref="K13:K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LEMBAR KERJA</vt:lpstr>
      <vt:lpstr>PENGOLAHAN DATA</vt:lpstr>
      <vt:lpstr>KETIDAKPASTIAN</vt:lpstr>
      <vt:lpstr>LAPORAN HASIL</vt:lpstr>
      <vt:lpstr>SERT. DATA LOGGER</vt:lpstr>
      <vt:lpstr>SERTIFIKAT ESA</vt:lpstr>
      <vt:lpstr>SERTIFIKAT THERMOHYGROMETER</vt:lpstr>
      <vt:lpstr>SERTIFIKAT STOPWATCH</vt:lpstr>
      <vt:lpstr>'LAPORAN HASIL'!Print_Area</vt:lpstr>
      <vt:lpstr>'LEMBAR KERJA'!Print_Area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hegar</dc:creator>
  <cp:lastModifiedBy>Ine Sofia Ranti</cp:lastModifiedBy>
  <cp:lastPrinted>2026-07-06T04:58:08Z</cp:lastPrinted>
  <dcterms:created xsi:type="dcterms:W3CDTF">2023-12-20T08:12:03Z</dcterms:created>
  <dcterms:modified xsi:type="dcterms:W3CDTF">2026-07-06T04:58:10Z</dcterms:modified>
</cp:coreProperties>
</file>